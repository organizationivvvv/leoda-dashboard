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-MAR.26" sheetId="1" r:id="rId4"/>
    <sheet state="visible" name="SEO_GMN-MAR.26" sheetId="2" r:id="rId5"/>
    <sheet state="visible" name="META-FEV.26" sheetId="3" r:id="rId6"/>
    <sheet state="visible" name="SEO_GMN-FEV.26" sheetId="4" r:id="rId7"/>
    <sheet state="visible" name="META-JAN.26" sheetId="5" r:id="rId8"/>
    <sheet state="visible" name="SEO_GMN-JAN.26" sheetId="6" r:id="rId9"/>
  </sheets>
  <definedNames/>
  <calcPr/>
  <extLst>
    <ext uri="GoogleSheetsCustomDataVersion2">
      <go:sheetsCustomData xmlns:go="http://customooxmlschemas.google.com/" r:id="rId10" roundtripDataChecksum="Qyx/pvpTWYj2MQTDwlIsB5rgj0mtU/jnFYU+7ZwEe7Q="/>
    </ext>
  </extLst>
</workbook>
</file>

<file path=xl/sharedStrings.xml><?xml version="1.0" encoding="utf-8"?>
<sst xmlns="http://schemas.openxmlformats.org/spreadsheetml/2006/main" count="669" uniqueCount="210">
  <si>
    <t>PERFORMANCE INSTAGRAM</t>
  </si>
  <si>
    <t>PLAYERS</t>
  </si>
  <si>
    <t>PERF.</t>
  </si>
  <si>
    <t>NoMaze</t>
  </si>
  <si>
    <t>Frederico Burlamaqui</t>
  </si>
  <si>
    <t xml:space="preserve">LEODA </t>
  </si>
  <si>
    <t>Artesania Marketing</t>
  </si>
  <si>
    <t>Le Pera</t>
  </si>
  <si>
    <t>Notopo</t>
  </si>
  <si>
    <t>Handz Marketing</t>
  </si>
  <si>
    <t>DRB Marketing</t>
  </si>
  <si>
    <t>PERFORMANCE FACEBOOK</t>
  </si>
  <si>
    <t>Seguidores</t>
  </si>
  <si>
    <t>LEODA</t>
  </si>
  <si>
    <t>-</t>
  </si>
  <si>
    <t>PERFORMANCE LINKEDIN</t>
  </si>
  <si>
    <t>PERFORMANCE YOUTUBE</t>
  </si>
  <si>
    <r>
      <rPr>
        <rFont val="Montserrat"/>
        <color rgb="FF434343"/>
        <sz val="10.0"/>
        <u/>
      </rPr>
      <t>Handz Marketing</t>
    </r>
  </si>
  <si>
    <r>
      <rPr>
        <rFont val="Montserrat"/>
        <color rgb="FF434343"/>
        <sz val="10.0"/>
        <u/>
      </rPr>
      <t>Artesania Marketing</t>
    </r>
  </si>
  <si>
    <t>PERFORMANCE TIKTOK</t>
  </si>
  <si>
    <r>
      <rPr>
        <rFont val="Montserrat"/>
        <color rgb="FF434343"/>
        <sz val="10.0"/>
        <u/>
      </rPr>
      <t>Handz Marketing</t>
    </r>
  </si>
  <si>
    <r>
      <rPr>
        <rFont val="Montserrat"/>
        <color rgb="FF434343"/>
        <sz val="10.0"/>
        <u/>
      </rPr>
      <t>Artesania Marketing</t>
    </r>
  </si>
  <si>
    <t>PERFORMANCE SITE SEO</t>
  </si>
  <si>
    <t>SEO</t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</si>
  <si>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</si>
  <si>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</si>
  <si>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</si>
  <si>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</si>
  <si>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</si>
  <si>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DRB Marketing</t>
    </r>
  </si>
  <si>
    <t>PERFORMANCE SITE PAGE SPEED</t>
  </si>
  <si>
    <t>MÉDIA</t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</si>
  <si>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</si>
  <si>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</si>
  <si>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</si>
  <si>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</si>
  <si>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</si>
  <si>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Le Pera</t>
    </r>
  </si>
  <si>
    <t>PERFORMANCE GMN</t>
  </si>
  <si>
    <r>
      <rPr>
        <rFont val="Montserrat"/>
        <color rgb="FF434343"/>
        <sz val="10.0"/>
        <u/>
      </rPr>
      <t>DRB Marketing</t>
    </r>
  </si>
  <si>
    <t>RANKING</t>
  </si>
  <si>
    <t>PAGESPEED</t>
  </si>
  <si>
    <t>GMN</t>
  </si>
  <si>
    <t>INSTAGRAM</t>
  </si>
  <si>
    <t>FACEBOOK</t>
  </si>
  <si>
    <t>LINKEDIN</t>
  </si>
  <si>
    <t>YOUTUBE</t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</si>
  <si>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</si>
  <si>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</si>
  <si>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</si>
  <si>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</si>
  <si>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</si>
  <si>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</si>
  <si>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</si>
  <si>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</si>
  <si>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</si>
  <si>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</si>
  <si>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434343"/>
        <sz val="10.0"/>
        <u/>
      </rPr>
      <t>Handz Marketing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</si>
  <si>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</si>
  <si>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</si>
  <si>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434343"/>
        <sz val="10.0"/>
        <u/>
      </rPr>
      <t>DRB Marketing</t>
    </r>
  </si>
  <si>
    <r>
      <rPr>
        <rFont val="Montserrat"/>
        <color rgb="FF434343"/>
        <sz val="10.0"/>
        <u/>
      </rPr>
      <t>Artesania Marketing</t>
    </r>
  </si>
  <si>
    <t>RANKING DOS PLAYERS - TOUCHPOINTS DIGITAIS</t>
  </si>
  <si>
    <t>Resultado</t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</si>
  <si>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</si>
  <si>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</si>
  <si>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</si>
  <si>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</si>
  <si>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</si>
  <si>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DRB Marketing</t>
    </r>
  </si>
  <si>
    <t>RANKING DOS PLAYERS - PERFORMANCE</t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</si>
  <si>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</si>
  <si>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</si>
  <si>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</si>
  <si>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</si>
  <si>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</si>
  <si>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</si>
  <si>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</si>
  <si>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</si>
  <si>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</si>
  <si>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</si>
  <si>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</si>
  <si>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DRB Marketing</t>
    </r>
  </si>
  <si>
    <t>PERFORMANCE</t>
  </si>
  <si>
    <t>Eng.</t>
  </si>
  <si>
    <t>Func.</t>
  </si>
  <si>
    <t>Seg./Fun.</t>
  </si>
  <si>
    <t>Méd. Curtidas</t>
  </si>
  <si>
    <t>Cur./Seg.</t>
  </si>
  <si>
    <t>2 posts</t>
  </si>
  <si>
    <t>6 posts</t>
  </si>
  <si>
    <t>6 post</t>
  </si>
  <si>
    <t>0 posts</t>
  </si>
  <si>
    <t>Inscritos</t>
  </si>
  <si>
    <t>Qtd. Víd. no Mês</t>
  </si>
  <si>
    <t>Méd. Visu.</t>
  </si>
  <si>
    <r>
      <rPr>
        <rFont val="Montserrat"/>
        <color rgb="FF434343"/>
        <sz val="10.0"/>
        <u/>
      </rPr>
      <t>Handz Marketing</t>
    </r>
  </si>
  <si>
    <r>
      <rPr>
        <rFont val="Montserrat"/>
        <color rgb="FF434343"/>
        <sz val="10.0"/>
        <u/>
      </rPr>
      <t>Artesania Marketing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</si>
  <si>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</si>
  <si>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</si>
  <si>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</si>
  <si>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</si>
  <si>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</si>
  <si>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DRB Marketing</t>
    </r>
  </si>
  <si>
    <t>MOBILE</t>
  </si>
  <si>
    <t>DESKTOP</t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</si>
  <si>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</si>
  <si>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</si>
  <si>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</si>
  <si>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</si>
  <si>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</si>
  <si>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Le Pera</t>
    </r>
  </si>
  <si>
    <t>Nota</t>
  </si>
  <si>
    <t>Nota Pnd.</t>
  </si>
  <si>
    <t>Avaliação</t>
  </si>
  <si>
    <r>
      <rPr>
        <rFont val="Montserrat"/>
        <color rgb="FF434343"/>
        <sz val="10.0"/>
        <u/>
      </rPr>
      <t>DRB Marketing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</si>
  <si>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</si>
  <si>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</si>
  <si>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</si>
  <si>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</si>
  <si>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</si>
  <si>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</si>
  <si>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</si>
  <si>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</si>
  <si>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</si>
  <si>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</si>
  <si>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434343"/>
        <sz val="10.0"/>
        <u/>
      </rPr>
      <t>Handz Marketing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</si>
  <si>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</si>
  <si>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</si>
  <si>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434343"/>
        <sz val="10.0"/>
        <u/>
      </rPr>
      <t>DRB Marketing</t>
    </r>
  </si>
  <si>
    <r>
      <rPr>
        <rFont val="Montserrat"/>
        <color rgb="FF434343"/>
        <sz val="10.0"/>
        <u/>
      </rPr>
      <t>Artesania Marketing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</si>
  <si>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</si>
  <si>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</si>
  <si>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</si>
  <si>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</si>
  <si>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</si>
  <si>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</si>
  <si>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</si>
  <si>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</si>
  <si>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</si>
  <si>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</si>
  <si>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</si>
  <si>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</si>
  <si>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</si>
  <si>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</si>
  <si>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</si>
  <si>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</si>
  <si>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</si>
  <si>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DRB Marketing</t>
    </r>
  </si>
  <si>
    <t>PORCENTAGEM PERFORMANCE GERAL - DASHBOARD</t>
  </si>
  <si>
    <t>PESO</t>
  </si>
  <si>
    <t>Nota max</t>
  </si>
  <si>
    <t>Nota PND</t>
  </si>
  <si>
    <t>Total PND</t>
  </si>
  <si>
    <t>TOTAL PND</t>
  </si>
  <si>
    <t>%</t>
  </si>
  <si>
    <t>SITE</t>
  </si>
  <si>
    <t>5.Ótimo (1º) - 4.Bom (2º, 3º) - 3.Ponderado (4º e 5º) - 2.Regular (6º e 7º) - 1.Ruim (8º)</t>
  </si>
  <si>
    <t>10 posts</t>
  </si>
  <si>
    <t>7 posts</t>
  </si>
  <si>
    <t>5 posts</t>
  </si>
  <si>
    <t>1 post</t>
  </si>
  <si>
    <r>
      <rPr>
        <rFont val="Montserrat"/>
        <color rgb="FF434343"/>
        <sz val="10.0"/>
        <u/>
      </rPr>
      <t>Handz Marketing</t>
    </r>
  </si>
  <si>
    <r>
      <rPr>
        <rFont val="Montserrat"/>
        <color rgb="FF434343"/>
        <sz val="10.0"/>
        <u/>
      </rPr>
      <t>Artesania Marketing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</si>
  <si>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</si>
  <si>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</si>
  <si>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</si>
  <si>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</si>
  <si>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</si>
  <si>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</si>
  <si>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</si>
  <si>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</si>
  <si>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</si>
  <si>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</si>
  <si>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</si>
  <si>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</si>
  <si>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434343"/>
        <sz val="10.0"/>
        <u/>
      </rPr>
      <t>DRB Marketing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</si>
  <si>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</si>
  <si>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</si>
  <si>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</si>
  <si>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</si>
  <si>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</si>
  <si>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</si>
  <si>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</si>
  <si>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</si>
  <si>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</si>
  <si>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</si>
  <si>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434343"/>
        <sz val="10.0"/>
        <u/>
      </rPr>
      <t>Handz Marketing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</si>
  <si>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</si>
  <si>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</si>
  <si>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434343"/>
        <sz val="10.0"/>
        <u/>
      </rPr>
      <t>DRB Marketing</t>
    </r>
  </si>
  <si>
    <r>
      <rPr>
        <rFont val="Montserrat"/>
        <color rgb="FF434343"/>
        <sz val="10.0"/>
        <u/>
      </rPr>
      <t>Artesania Marketing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</si>
  <si>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</si>
  <si>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</si>
  <si>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</si>
  <si>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</si>
  <si>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</si>
  <si>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</si>
  <si>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</si>
  <si>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</si>
  <si>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</si>
  <si>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</si>
  <si>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</si>
  <si>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DRB Marketing</t>
    </r>
  </si>
  <si>
    <r>
      <rPr>
        <rFont val="Montserrat"/>
        <color rgb="FF1155CC"/>
        <sz val="10.0"/>
        <u/>
      </rPr>
      <t>NoMaze</t>
    </r>
  </si>
  <si>
    <r>
      <rPr>
        <rFont val="Montserrat"/>
        <color rgb="FF1155CC"/>
        <sz val="10.0"/>
        <u/>
      </rPr>
      <t>Notopo</t>
    </r>
  </si>
  <si>
    <r>
      <rPr>
        <rFont val="Montserrat"/>
        <color rgb="FF1155CC"/>
        <sz val="10.0"/>
        <u/>
      </rPr>
      <t>Artesania Marketing</t>
    </r>
  </si>
  <si>
    <r>
      <rPr>
        <rFont val="Montserrat"/>
        <color rgb="FF1155CC"/>
        <sz val="10.0"/>
        <u/>
      </rPr>
      <t>Handz Marketing</t>
    </r>
  </si>
  <si>
    <r>
      <rPr>
        <rFont val="Montserrat"/>
        <color rgb="FF1155CC"/>
        <sz val="10.0"/>
        <u/>
      </rPr>
      <t>Le Pera</t>
    </r>
  </si>
  <si>
    <r>
      <rPr>
        <rFont val="Montserrat"/>
        <color rgb="FF1155CC"/>
        <sz val="10.0"/>
        <u/>
      </rPr>
      <t>DRB Marketing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</si>
</sst>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d"/>
    <numFmt numFmtId="165" formatCode="d/m/yyyy"/>
  </numFmts>
  <fonts count="39">
    <font>
      <sz val="12.0"/>
      <color theme="1"/>
      <name val="Calibri"/>
      <scheme val="minor"/>
    </font>
    <font>
      <sz val="10.0"/>
      <color theme="1"/>
      <name val="Montserrat"/>
    </font>
    <font>
      <b/>
      <u/>
      <sz val="11.0"/>
      <color rgb="FFFFFFFF"/>
      <name val="Montserrat"/>
    </font>
    <font>
      <sz val="11.0"/>
      <color theme="1"/>
      <name val="Calibri"/>
    </font>
    <font>
      <b/>
      <sz val="11.0"/>
      <color theme="1"/>
      <name val="Montserrat"/>
    </font>
    <font>
      <sz val="11.0"/>
      <color theme="1"/>
      <name val="Montserrat"/>
    </font>
    <font>
      <sz val="12.0"/>
      <color theme="1"/>
      <name val="Calibri"/>
    </font>
    <font>
      <u/>
      <sz val="10.0"/>
      <color rgb="FF0563C1"/>
      <name val="Montserrat"/>
    </font>
    <font>
      <b/>
      <sz val="10.0"/>
      <color rgb="FFC00000"/>
      <name val="Montserrat"/>
    </font>
    <font>
      <u/>
      <sz val="10.0"/>
      <color rgb="FF0000FF"/>
      <name val="Montserrat"/>
    </font>
    <font>
      <b/>
      <sz val="12.0"/>
      <color rgb="FFFFFFFF"/>
      <name val="Montserrat"/>
    </font>
    <font>
      <sz val="12.0"/>
      <color theme="0"/>
      <name val="Calibri"/>
    </font>
    <font>
      <b/>
      <sz val="12.0"/>
      <color theme="0"/>
      <name val="Montserrat"/>
    </font>
    <font/>
    <font>
      <b/>
      <sz val="10.0"/>
      <color theme="0"/>
      <name val="Montserrat"/>
    </font>
    <font>
      <b/>
      <sz val="10.0"/>
      <color rgb="FFFFFFFF"/>
      <name val="Montserrat"/>
    </font>
    <font>
      <color theme="1"/>
      <name val="Calibri"/>
    </font>
    <font>
      <sz val="10.0"/>
      <color rgb="FF434343"/>
      <name val="Montserrat"/>
    </font>
    <font>
      <b/>
      <u/>
      <sz val="12.0"/>
      <color theme="0"/>
      <name val="Montserrat"/>
    </font>
    <font>
      <u/>
      <sz val="10.0"/>
      <color rgb="FF434343"/>
      <name val="Montserrat"/>
    </font>
    <font>
      <b/>
      <u/>
      <sz val="12.0"/>
      <color rgb="FFFFFFFF"/>
      <name val="Montserrat"/>
    </font>
    <font>
      <b/>
      <sz val="10.0"/>
      <color theme="1"/>
      <name val="Montserrat"/>
    </font>
    <font>
      <b/>
      <color theme="1"/>
      <name val="Montserrat"/>
    </font>
    <font>
      <u/>
      <color rgb="FF434343"/>
      <name val="Montserrat"/>
    </font>
    <font>
      <u/>
      <color rgb="FF0563C1"/>
      <name val="Montserrat"/>
    </font>
    <font>
      <color rgb="FF434343"/>
      <name val="Montserrat"/>
    </font>
    <font>
      <color theme="1"/>
      <name val="Montserrat"/>
    </font>
    <font>
      <u/>
      <sz val="12.0"/>
      <color theme="10"/>
      <name val="Calibri"/>
    </font>
    <font>
      <u/>
      <sz val="10.0"/>
      <color rgb="FF0563C1"/>
      <name val="Montserrat"/>
    </font>
    <font>
      <u/>
      <sz val="12.0"/>
      <color theme="1"/>
      <name val="Calibri"/>
    </font>
    <font>
      <u/>
      <sz val="10.0"/>
      <color rgb="FF0000FF"/>
      <name val="Montserrat"/>
    </font>
    <font>
      <u/>
      <sz val="10.0"/>
      <color rgb="FF434343"/>
      <name val="Montserrat"/>
    </font>
    <font>
      <u/>
      <sz val="10.0"/>
      <color rgb="FF0000FF"/>
      <name val="Montserrat"/>
    </font>
    <font>
      <b/>
      <u/>
      <sz val="10.0"/>
      <color rgb="FFFFFFFF"/>
      <name val="Montserrat"/>
    </font>
    <font>
      <u/>
      <sz val="10.0"/>
      <color rgb="FF0000FF"/>
      <name val="Montserrat"/>
    </font>
    <font>
      <b/>
      <u/>
      <sz val="12.0"/>
      <color theme="0"/>
      <name val="Montserrat"/>
    </font>
    <font>
      <b/>
      <u/>
      <sz val="12.0"/>
      <color rgb="FFFFFFFF"/>
      <name val="Montserrat"/>
    </font>
    <font>
      <u/>
      <sz val="10.0"/>
      <color theme="1"/>
      <name val="Montserrat"/>
    </font>
    <font>
      <b/>
      <sz val="12.0"/>
      <color theme="1"/>
      <name val="Montserrat"/>
    </font>
  </fonts>
  <fills count="15">
    <fill>
      <patternFill patternType="none"/>
    </fill>
    <fill>
      <patternFill patternType="lightGray"/>
    </fill>
    <fill>
      <patternFill patternType="solid">
        <fgColor rgb="FFFF2F92"/>
        <bgColor rgb="FFFF2F92"/>
      </patternFill>
    </fill>
    <fill>
      <patternFill patternType="solid">
        <fgColor rgb="FFD0CECE"/>
        <bgColor rgb="FFD0CECE"/>
      </patternFill>
    </fill>
    <fill>
      <patternFill patternType="solid">
        <fgColor rgb="FF0070C0"/>
        <bgColor rgb="FF0070C0"/>
      </patternFill>
    </fill>
    <fill>
      <patternFill patternType="solid">
        <fgColor rgb="FF1F3864"/>
        <bgColor rgb="FF1F3864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44546A"/>
        <bgColor rgb="FF44546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0" fillId="0" fontId="3" numFmtId="0" xfId="0" applyFont="1"/>
    <xf borderId="2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Font="1"/>
    <xf borderId="3" fillId="0" fontId="7" numFmtId="0" xfId="0" applyAlignment="1" applyBorder="1" applyFont="1">
      <alignment vertical="center"/>
    </xf>
    <xf borderId="3" fillId="3" fontId="8" numFmtId="3" xfId="0" applyAlignment="1" applyBorder="1" applyFill="1" applyFont="1" applyNumberFormat="1">
      <alignment horizontal="center" readingOrder="0" vertical="center"/>
    </xf>
    <xf borderId="3" fillId="0" fontId="9" numFmtId="0" xfId="0" applyAlignment="1" applyBorder="1" applyFont="1">
      <alignment vertical="center"/>
    </xf>
    <xf borderId="1" fillId="4" fontId="10" numFmtId="0" xfId="0" applyAlignment="1" applyBorder="1" applyFill="1" applyFont="1">
      <alignment horizontal="center" vertical="center"/>
    </xf>
    <xf borderId="0" fillId="0" fontId="11" numFmtId="0" xfId="0" applyFont="1"/>
    <xf borderId="3" fillId="0" fontId="1" numFmtId="3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vertical="center"/>
    </xf>
    <xf borderId="4" fillId="5" fontId="12" numFmtId="0" xfId="0" applyAlignment="1" applyBorder="1" applyFill="1" applyFont="1">
      <alignment horizontal="center" vertical="center"/>
    </xf>
    <xf borderId="5" fillId="0" fontId="13" numFmtId="0" xfId="0" applyBorder="1" applyFont="1"/>
    <xf borderId="0" fillId="0" fontId="14" numFmtId="0" xfId="0" applyAlignment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3" fillId="3" fontId="8" numFmtId="10" xfId="0" applyAlignment="1" applyBorder="1" applyFont="1" applyNumberFormat="1">
      <alignment horizontal="center" readingOrder="0" vertical="center"/>
    </xf>
    <xf borderId="0" fillId="6" fontId="1" numFmtId="0" xfId="0" applyAlignment="1" applyFill="1" applyFont="1">
      <alignment vertical="center"/>
    </xf>
    <xf borderId="3" fillId="3" fontId="8" numFmtId="10" xfId="0" applyAlignment="1" applyBorder="1" applyFont="1" applyNumberFormat="1">
      <alignment horizontal="center" vertical="center"/>
    </xf>
    <xf borderId="1" fillId="7" fontId="10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Font="1"/>
    <xf borderId="3" fillId="0" fontId="17" numFmtId="0" xfId="0" applyAlignment="1" applyBorder="1" applyFont="1">
      <alignment vertical="center"/>
    </xf>
    <xf borderId="3" fillId="8" fontId="10" numFmtId="0" xfId="0" applyAlignment="1" applyBorder="1" applyFill="1" applyFont="1">
      <alignment horizontal="center" vertical="center"/>
    </xf>
    <xf borderId="3" fillId="0" fontId="1" numFmtId="3" xfId="0" applyAlignment="1" applyBorder="1" applyFont="1" applyNumberFormat="1">
      <alignment horizontal="center" readingOrder="0" vertical="center"/>
    </xf>
    <xf borderId="3" fillId="9" fontId="18" numFmtId="0" xfId="0" applyAlignment="1" applyBorder="1" applyFill="1" applyFont="1">
      <alignment horizontal="center" shrinkToFit="0" vertical="center" wrapText="1"/>
    </xf>
    <xf borderId="3" fillId="0" fontId="19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3" fillId="9" fontId="20" numFmtId="0" xfId="0" applyAlignment="1" applyBorder="1" applyFont="1">
      <alignment horizontal="center" vertical="center"/>
    </xf>
    <xf borderId="3" fillId="0" fontId="21" numFmtId="0" xfId="0" applyAlignment="1" applyBorder="1" applyFont="1">
      <alignment horizontal="center" vertical="center"/>
    </xf>
    <xf borderId="3" fillId="3" fontId="21" numFmtId="0" xfId="0" applyAlignment="1" applyBorder="1" applyFont="1">
      <alignment horizontal="center" readingOrder="0" vertical="center"/>
    </xf>
    <xf borderId="3" fillId="9" fontId="12" numFmtId="0" xfId="0" applyAlignment="1" applyBorder="1" applyFont="1">
      <alignment horizontal="center" vertical="center"/>
    </xf>
    <xf borderId="3" fillId="3" fontId="8" numFmtId="0" xfId="0" applyAlignment="1" applyBorder="1" applyFont="1">
      <alignment horizontal="center" readingOrder="0" vertical="center"/>
    </xf>
    <xf borderId="3" fillId="3" fontId="8" numFmtId="0" xfId="0" applyAlignment="1" applyBorder="1" applyFont="1">
      <alignment horizontal="center" vertical="center"/>
    </xf>
    <xf borderId="3" fillId="0" fontId="22" numFmtId="0" xfId="0" applyAlignment="1" applyBorder="1" applyFont="1">
      <alignment horizontal="center"/>
    </xf>
    <xf borderId="3" fillId="10" fontId="22" numFmtId="0" xfId="0" applyAlignment="1" applyBorder="1" applyFill="1" applyFont="1">
      <alignment horizontal="center"/>
    </xf>
    <xf borderId="3" fillId="0" fontId="22" numFmtId="0" xfId="0" applyBorder="1" applyFont="1"/>
    <xf borderId="3" fillId="6" fontId="22" numFmtId="0" xfId="0" applyAlignment="1" applyBorder="1" applyFont="1">
      <alignment horizontal="center"/>
    </xf>
    <xf borderId="3" fillId="6" fontId="23" numFmtId="0" xfId="0" applyBorder="1" applyFont="1"/>
    <xf borderId="3" fillId="6" fontId="24" numFmtId="0" xfId="0" applyBorder="1" applyFont="1"/>
    <xf borderId="3" fillId="6" fontId="25" numFmtId="0" xfId="0" applyBorder="1" applyFont="1"/>
    <xf borderId="3" fillId="6" fontId="26" numFmtId="0" xfId="0" applyBorder="1" applyFont="1"/>
    <xf borderId="1" fillId="9" fontId="12" numFmtId="0" xfId="0" applyAlignment="1" applyBorder="1" applyFont="1">
      <alignment horizontal="center" vertical="center"/>
    </xf>
    <xf borderId="7" fillId="0" fontId="13" numFmtId="0" xfId="0" applyBorder="1" applyFont="1"/>
    <xf borderId="0" fillId="0" fontId="27" numFmtId="0" xfId="0" applyFont="1"/>
    <xf borderId="3" fillId="6" fontId="28" numFmtId="0" xfId="0" applyAlignment="1" applyBorder="1" applyFont="1">
      <alignment vertical="center"/>
    </xf>
    <xf borderId="0" fillId="0" fontId="29" numFmtId="0" xfId="0" applyFont="1"/>
    <xf borderId="3" fillId="6" fontId="30" numFmtId="0" xfId="0" applyAlignment="1" applyBorder="1" applyFont="1">
      <alignment vertical="center"/>
    </xf>
    <xf borderId="3" fillId="6" fontId="31" numFmtId="0" xfId="0" applyAlignment="1" applyBorder="1" applyFont="1">
      <alignment vertical="center"/>
    </xf>
    <xf borderId="0" fillId="0" fontId="6" numFmtId="0" xfId="0" applyAlignment="1" applyFont="1">
      <alignment vertical="bottom"/>
    </xf>
    <xf borderId="1" fillId="9" fontId="10" numFmtId="0" xfId="0" applyAlignment="1" applyBorder="1" applyFont="1">
      <alignment horizontal="center" vertical="center"/>
    </xf>
    <xf borderId="3" fillId="11" fontId="32" numFmtId="0" xfId="0" applyAlignment="1" applyBorder="1" applyFill="1" applyFont="1">
      <alignment vertical="center"/>
    </xf>
    <xf borderId="3" fillId="11" fontId="1" numFmtId="0" xfId="0" applyAlignment="1" applyBorder="1" applyFont="1">
      <alignment horizontal="center" vertical="center"/>
    </xf>
    <xf borderId="3" fillId="6" fontId="1" numFmtId="0" xfId="0" applyAlignment="1" applyBorder="1" applyFont="1">
      <alignment horizontal="center"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center"/>
    </xf>
    <xf borderId="0" fillId="0" fontId="4" numFmtId="164" xfId="0" applyAlignment="1" applyFont="1" applyNumberFormat="1">
      <alignment horizontal="center" vertical="center"/>
    </xf>
    <xf borderId="8" fillId="0" fontId="13" numFmtId="0" xfId="0" applyBorder="1" applyFont="1"/>
    <xf borderId="0" fillId="0" fontId="3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3" fillId="0" fontId="1" numFmtId="10" xfId="0" applyAlignment="1" applyBorder="1" applyFont="1" applyNumberFormat="1">
      <alignment horizontal="center" vertical="center"/>
    </xf>
    <xf borderId="3" fillId="3" fontId="8" numFmtId="3" xfId="0" applyAlignment="1" applyBorder="1" applyFont="1" applyNumberFormat="1">
      <alignment horizontal="center" vertical="center"/>
    </xf>
    <xf borderId="7" fillId="0" fontId="1" numFmtId="3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3" fillId="3" fontId="1" numFmtId="2" xfId="0" applyAlignment="1" applyBorder="1" applyFont="1" applyNumberFormat="1">
      <alignment horizontal="center" vertical="center"/>
    </xf>
    <xf borderId="3" fillId="3" fontId="1" numFmtId="10" xfId="0" applyAlignment="1" applyBorder="1" applyFont="1" applyNumberFormat="1">
      <alignment horizontal="center" vertical="center"/>
    </xf>
    <xf borderId="3" fillId="8" fontId="1" numFmtId="3" xfId="0" applyAlignment="1" applyBorder="1" applyFont="1" applyNumberFormat="1">
      <alignment horizontal="center" vertical="center"/>
    </xf>
    <xf borderId="3" fillId="0" fontId="34" numFmtId="3" xfId="0" applyAlignment="1" applyBorder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1" fillId="9" fontId="35" numFmtId="0" xfId="0" applyAlignment="1" applyBorder="1" applyFont="1">
      <alignment horizontal="center" shrinkToFit="0" vertical="center" wrapText="1"/>
    </xf>
    <xf borderId="1" fillId="9" fontId="36" numFmtId="0" xfId="0" applyAlignment="1" applyBorder="1" applyFont="1">
      <alignment horizontal="center" vertical="center"/>
    </xf>
    <xf borderId="3" fillId="3" fontId="21" numFmtId="0" xfId="0" applyAlignment="1" applyBorder="1" applyFont="1">
      <alignment horizontal="center" vertical="center"/>
    </xf>
    <xf borderId="3" fillId="3" fontId="21" numFmtId="9" xfId="0" applyAlignment="1" applyBorder="1" applyFont="1" applyNumberFormat="1">
      <alignment horizontal="center" vertical="center"/>
    </xf>
    <xf borderId="3" fillId="12" fontId="21" numFmtId="0" xfId="0" applyAlignment="1" applyBorder="1" applyFill="1" applyFont="1">
      <alignment horizontal="center" vertical="center"/>
    </xf>
    <xf borderId="3" fillId="0" fontId="21" numFmtId="0" xfId="0" applyAlignment="1" applyBorder="1" applyFont="1">
      <alignment vertical="center"/>
    </xf>
    <xf borderId="0" fillId="0" fontId="21" numFmtId="0" xfId="0" applyAlignment="1" applyFont="1">
      <alignment horizontal="center" vertical="center"/>
    </xf>
    <xf borderId="0" fillId="0" fontId="37" numFmtId="0" xfId="0" applyAlignment="1" applyFont="1">
      <alignment vertical="center"/>
    </xf>
    <xf borderId="3" fillId="0" fontId="17" numFmtId="0" xfId="0" applyAlignment="1" applyBorder="1" applyFont="1">
      <alignment horizontal="center" vertical="center"/>
    </xf>
    <xf borderId="3" fillId="12" fontId="17" numFmtId="0" xfId="0" applyAlignment="1" applyBorder="1" applyFont="1">
      <alignment horizontal="center" vertical="center"/>
    </xf>
    <xf borderId="3" fillId="10" fontId="21" numFmtId="164" xfId="0" applyAlignment="1" applyBorder="1" applyFont="1" applyNumberFormat="1">
      <alignment horizontal="center" vertical="center"/>
    </xf>
    <xf borderId="3" fillId="10" fontId="21" numFmtId="0" xfId="0" applyAlignment="1" applyBorder="1" applyFont="1">
      <alignment horizontal="center" vertical="center"/>
    </xf>
    <xf borderId="3" fillId="0" fontId="21" numFmtId="9" xfId="0" applyAlignment="1" applyBorder="1" applyFont="1" applyNumberFormat="1">
      <alignment horizontal="center" vertical="center"/>
    </xf>
    <xf borderId="0" fillId="0" fontId="1" numFmtId="9" xfId="0" applyAlignment="1" applyFont="1" applyNumberFormat="1">
      <alignment vertical="center"/>
    </xf>
    <xf borderId="3" fillId="13" fontId="1" numFmtId="0" xfId="0" applyAlignment="1" applyBorder="1" applyFill="1" applyFont="1">
      <alignment horizontal="center" vertical="center"/>
    </xf>
    <xf borderId="1" fillId="14" fontId="38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vertical="center"/>
    </xf>
    <xf borderId="3" fillId="13" fontId="4" numFmtId="0" xfId="0" applyAlignment="1" applyBorder="1" applyFont="1">
      <alignment horizontal="center" vertical="center"/>
    </xf>
    <xf borderId="3" fillId="0" fontId="4" numFmtId="9" xfId="0" applyAlignment="1" applyBorder="1" applyFont="1" applyNumberFormat="1">
      <alignment horizontal="center" vertical="center"/>
    </xf>
    <xf borderId="3" fillId="0" fontId="1" numFmtId="9" xfId="0" applyAlignment="1" applyBorder="1" applyFont="1" applyNumberFormat="1">
      <alignment horizontal="center" vertical="center"/>
    </xf>
    <xf borderId="3" fillId="0" fontId="1" numFmtId="9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RANKING - TOUCHPOINS DIGITAIS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BB37E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'SEO_GMN-MAR.26'!$B$47:$B$54</c:f>
            </c:strRef>
          </c:cat>
          <c:val>
            <c:numRef>
              <c:f>'SEO_GMN-MAR.26'!$C$47:$C$54</c:f>
              <c:numCache/>
            </c:numRef>
          </c:val>
        </c:ser>
        <c:axId val="1223349705"/>
        <c:axId val="1723374181"/>
      </c:barChart>
      <c:catAx>
        <c:axId val="1223349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723374181"/>
      </c:catAx>
      <c:valAx>
        <c:axId val="1723374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23349705"/>
      </c:valAx>
    </c:plotArea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chemeClr val="dk1"/>
                </a:solidFill>
                <a:latin typeface="Tahoma"/>
              </a:defRPr>
            </a:pPr>
            <a:r>
              <a:rPr b="1" i="0" sz="1000">
                <a:solidFill>
                  <a:schemeClr val="dk1"/>
                </a:solidFill>
                <a:latin typeface="Tahoma"/>
              </a:rPr>
              <a:t>INSTAGRAM -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BB37E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'META-FEV.26'!$B$4:$B$11</c:f>
            </c:strRef>
          </c:cat>
          <c:val>
            <c:numRef>
              <c:f>'META-FEV.26'!$E$4:$E$11</c:f>
              <c:numCache/>
            </c:numRef>
          </c:val>
        </c:ser>
        <c:axId val="175033657"/>
        <c:axId val="1502675001"/>
      </c:barChart>
      <c:catAx>
        <c:axId val="175033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502675001"/>
      </c:catAx>
      <c:valAx>
        <c:axId val="15026750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7503365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chemeClr val="dk1"/>
                </a:solidFill>
                <a:latin typeface="Tahoma"/>
              </a:defRPr>
            </a:pPr>
            <a:r>
              <a:rPr b="1" i="0" sz="1100">
                <a:solidFill>
                  <a:schemeClr val="dk1"/>
                </a:solidFill>
                <a:latin typeface="Tahoma"/>
              </a:rPr>
              <a:t>YOUTUBE -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'META-FEV.26'!$G$35:$G$36</c:f>
            </c:strRef>
          </c:tx>
          <c:spPr>
            <a:solidFill>
              <a:srgbClr val="EBB37E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'META-FEV.26'!$B$37:$B$44</c:f>
            </c:strRef>
          </c:cat>
          <c:val>
            <c:numRef>
              <c:f>'META-FEV.26'!$G$37:$G$44</c:f>
              <c:numCache/>
            </c:numRef>
          </c:val>
        </c:ser>
        <c:axId val="768116213"/>
        <c:axId val="1477427665"/>
      </c:barChart>
      <c:catAx>
        <c:axId val="768116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477427665"/>
      </c:catAx>
      <c:valAx>
        <c:axId val="147742766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68116213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chemeClr val="dk1"/>
                </a:solidFill>
                <a:latin typeface="+mn-lt"/>
              </a:defRPr>
            </a:pPr>
            <a:r>
              <a:rPr b="1" i="0" sz="1200">
                <a:solidFill>
                  <a:schemeClr val="dk1"/>
                </a:solidFill>
                <a:latin typeface="+mn-lt"/>
              </a:rPr>
              <a:t>GOOGLE MEU NEGÓCIO -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BB37E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'SEO_GMN-FEV.26'!$B$26:$B$33</c:f>
            </c:strRef>
          </c:cat>
          <c:val>
            <c:numRef>
              <c:f>'SEO_GMN-FEV.26'!$F$26:$F$33</c:f>
              <c:numCache/>
            </c:numRef>
          </c:val>
        </c:ser>
        <c:axId val="511657311"/>
        <c:axId val="1329264167"/>
      </c:barChart>
      <c:catAx>
        <c:axId val="511657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329264167"/>
      </c:catAx>
      <c:valAx>
        <c:axId val="13292641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11657311"/>
      </c:valAx>
    </c:plotArea>
    <c:plotVisOnly val="1"/>
  </c:chart>
  <c:spPr>
    <a:solidFill>
      <a:schemeClr val="lt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chemeClr val="dk1"/>
                </a:solidFill>
                <a:latin typeface="+mn-lt"/>
              </a:defRPr>
            </a:pPr>
            <a:r>
              <a:rPr b="1" i="0" sz="1200">
                <a:solidFill>
                  <a:schemeClr val="dk1"/>
                </a:solidFill>
                <a:latin typeface="+mn-lt"/>
              </a:rPr>
              <a:t>SEO - SITE (WOONRANK)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BB37E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'SEO_GMN-FEV.26'!$B$4:$B$11</c:f>
            </c:strRef>
          </c:cat>
          <c:val>
            <c:numRef>
              <c:f>'SEO_GMN-FEV.26'!$C$4:$C$11</c:f>
              <c:numCache/>
            </c:numRef>
          </c:val>
        </c:ser>
        <c:axId val="1629242436"/>
        <c:axId val="326169876"/>
      </c:barChart>
      <c:catAx>
        <c:axId val="1629242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326169876"/>
      </c:catAx>
      <c:valAx>
        <c:axId val="3261698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29242436"/>
      </c:valAx>
    </c:plotArea>
    <c:plotVisOnly val="1"/>
  </c:chart>
  <c:spPr>
    <a:solidFill>
      <a:schemeClr val="lt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RANKING - TOUCHPOINS DIGITAIS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BB37E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'SEO_GMN-FEV.26'!$B$47:$B$54</c:f>
            </c:strRef>
          </c:cat>
          <c:val>
            <c:numRef>
              <c:f>'SEO_GMN-FEV.26'!$J$47:$J$54</c:f>
              <c:numCache/>
            </c:numRef>
          </c:val>
        </c:ser>
        <c:axId val="1872789340"/>
        <c:axId val="1470430010"/>
      </c:barChart>
      <c:catAx>
        <c:axId val="1872789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70430010"/>
      </c:catAx>
      <c:valAx>
        <c:axId val="1470430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72789340"/>
      </c:valAx>
    </c:plotArea>
    <c:plotVisOnly val="1"/>
  </c:chart>
  <c:spPr>
    <a:solidFill>
      <a:schemeClr val="dk1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  <a:r>
              <a:rPr b="1" i="0" sz="1400">
                <a:solidFill>
                  <a:srgbClr val="000000"/>
                </a:solidFill>
                <a:latin typeface="+mn-lt"/>
              </a:rPr>
              <a:t>RADAR DE PERFORMANCE DOS PLAYERS</a:t>
            </a:r>
          </a:p>
        </c:rich>
      </c:tx>
      <c:layout>
        <c:manualLayout>
          <c:xMode val="edge"/>
          <c:yMode val="edge"/>
          <c:x val="0.027381888000000004"/>
          <c:y val="0.0177494429504418"/>
        </c:manualLayout>
      </c:layout>
      <c:overlay val="0"/>
    </c:title>
    <c:plotArea>
      <c:layout/>
      <c:radarChart>
        <c:radarStyle val="marker"/>
        <c:ser>
          <c:idx val="0"/>
          <c:order val="0"/>
          <c:tx>
            <c:strRef>
              <c:f>'SEO_GMN-FEV.26'!$B$53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'SEO_GMN-FEV.26'!$C$46:$I$46</c:f>
            </c:strRef>
          </c:cat>
          <c:val>
            <c:numRef>
              <c:f>'SEO_GMN-FEV.26'!$C$53:$I$53</c:f>
              <c:numCache/>
            </c:numRef>
          </c:val>
          <c:smooth val="1"/>
        </c:ser>
        <c:ser>
          <c:idx val="1"/>
          <c:order val="1"/>
          <c:tx>
            <c:strRef>
              <c:f>'SEO_GMN-FEV.26'!$B$51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'SEO_GMN-FEV.26'!$C$46:$I$46</c:f>
            </c:strRef>
          </c:cat>
          <c:val>
            <c:numRef>
              <c:f>'SEO_GMN-FEV.26'!$C$51:$I$51</c:f>
              <c:numCache/>
            </c:numRef>
          </c:val>
          <c:smooth val="1"/>
        </c:ser>
        <c:ser>
          <c:idx val="2"/>
          <c:order val="2"/>
          <c:tx>
            <c:strRef>
              <c:f>'SEO_GMN-FEV.26'!$B$48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'SEO_GMN-FEV.26'!$C$46:$I$46</c:f>
            </c:strRef>
          </c:cat>
          <c:val>
            <c:numRef>
              <c:f>'SEO_GMN-FEV.26'!$C$48:$I$48</c:f>
              <c:numCache/>
            </c:numRef>
          </c:val>
          <c:smooth val="1"/>
        </c:ser>
        <c:ser>
          <c:idx val="3"/>
          <c:order val="3"/>
          <c:tx>
            <c:strRef>
              <c:f>'SEO_GMN-FEV.26'!$B$47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'SEO_GMN-FEV.26'!$C$46:$I$46</c:f>
            </c:strRef>
          </c:cat>
          <c:val>
            <c:numRef>
              <c:f>'SEO_GMN-FEV.26'!$C$47:$I$47</c:f>
              <c:numCache/>
            </c:numRef>
          </c:val>
          <c:smooth val="1"/>
        </c:ser>
        <c:ser>
          <c:idx val="4"/>
          <c:order val="4"/>
          <c:tx>
            <c:strRef>
              <c:f>'SEO_GMN-FEV.26'!$B$49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'SEO_GMN-FEV.26'!$C$46:$I$46</c:f>
            </c:strRef>
          </c:cat>
          <c:val>
            <c:numRef>
              <c:f>'SEO_GMN-FEV.26'!$C$49:$I$49</c:f>
              <c:numCache/>
            </c:numRef>
          </c:val>
          <c:smooth val="1"/>
        </c:ser>
        <c:ser>
          <c:idx val="5"/>
          <c:order val="5"/>
          <c:tx>
            <c:strRef>
              <c:f>'SEO_GMN-FEV.26'!$B$50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'SEO_GMN-FEV.26'!$C$46:$I$46</c:f>
            </c:strRef>
          </c:cat>
          <c:val>
            <c:numRef>
              <c:f>'SEO_GMN-FEV.26'!$C$50:$I$50</c:f>
              <c:numCache/>
            </c:numRef>
          </c:val>
          <c:smooth val="1"/>
        </c:ser>
        <c:ser>
          <c:idx val="6"/>
          <c:order val="6"/>
          <c:tx>
            <c:strRef>
              <c:f>'SEO_GMN-FEV.26'!$B$52</c:f>
            </c:strRef>
          </c:tx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'SEO_GMN-FEV.26'!$C$46:$I$46</c:f>
            </c:strRef>
          </c:cat>
          <c:val>
            <c:numRef>
              <c:f>'SEO_GMN-FEV.26'!$C$52:$I$52</c:f>
              <c:numCache/>
            </c:numRef>
          </c:val>
          <c:smooth val="1"/>
        </c:ser>
        <c:ser>
          <c:idx val="7"/>
          <c:order val="7"/>
          <c:tx>
            <c:strRef>
              <c:f>'SEO_GMN-FEV.26'!$B$54</c:f>
            </c:strRef>
          </c:tx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'SEO_GMN-FEV.26'!$C$46:$I$46</c:f>
            </c:strRef>
          </c:cat>
          <c:val>
            <c:numRef>
              <c:f>'SEO_GMN-FEV.26'!$C$54:$I$54</c:f>
              <c:numCache/>
            </c:numRef>
          </c:val>
          <c:smooth val="1"/>
        </c:ser>
        <c:axId val="1586728467"/>
        <c:axId val="1066434090"/>
      </c:radarChart>
      <c:catAx>
        <c:axId val="1586728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6434090"/>
      </c:catAx>
      <c:valAx>
        <c:axId val="1066434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728467"/>
      </c:valAx>
    </c:plotArea>
    <c:legend>
      <c:legendPos val="r"/>
      <c:overlay val="0"/>
      <c:txPr>
        <a:bodyPr/>
        <a:lstStyle/>
        <a:p>
          <a:pPr lvl="0">
            <a:defRPr b="0" i="0" sz="7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chemeClr val="dk1"/>
                </a:solidFill>
                <a:latin typeface="+mn-lt"/>
              </a:defRPr>
            </a:pPr>
            <a:r>
              <a:rPr b="1" i="0" sz="1200">
                <a:solidFill>
                  <a:schemeClr val="dk1"/>
                </a:solidFill>
                <a:latin typeface="+mn-lt"/>
              </a:rPr>
              <a:t>PERFORMANCE - SITE (PAGESPEED)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BB37E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FAD5B1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'SEO_GMN-FEV.26'!$B$15:$B$22</c:f>
            </c:strRef>
          </c:cat>
          <c:val>
            <c:numRef>
              <c:f>'SEO_GMN-FEV.26'!$C$15:$C$22</c:f>
              <c:numCache/>
            </c:numRef>
          </c:val>
        </c:ser>
        <c:ser>
          <c:idx val="1"/>
          <c:order val="1"/>
          <c:spPr>
            <a:solidFill>
              <a:schemeClr val="dk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D9D9D9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D9D9D9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'SEO_GMN-FEV.26'!$B$15:$B$22</c:f>
            </c:strRef>
          </c:cat>
          <c:val>
            <c:numRef>
              <c:f>'SEO_GMN-FEV.26'!$D$15:$D$22</c:f>
              <c:numCache/>
            </c:numRef>
          </c:val>
        </c:ser>
        <c:axId val="669609780"/>
        <c:axId val="1684401386"/>
      </c:barChart>
      <c:catAx>
        <c:axId val="669609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684401386"/>
      </c:catAx>
      <c:valAx>
        <c:axId val="168440138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69609780"/>
      </c:valAx>
    </c:plotArea>
    <c:plotVisOnly val="1"/>
  </c:chart>
  <c:spPr>
    <a:solidFill>
      <a:schemeClr val="lt1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Roboto"/>
              </a:defRPr>
            </a:pPr>
            <a:r>
              <a:rPr b="1" i="0" sz="1600">
                <a:solidFill>
                  <a:srgbClr val="757575"/>
                </a:solidFill>
                <a:latin typeface="Roboto"/>
              </a:rPr>
              <a:t>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'SEO_GMN-FEV.26'!$C$90:$F$90</c:f>
            </c:strRef>
          </c:cat>
          <c:val>
            <c:numRef>
              <c:f>'SEO_GMN-FEV.26'!$C$91:$F$91</c:f>
              <c:numCache/>
            </c:numRef>
          </c:val>
          <c:smooth val="0"/>
        </c:ser>
        <c:axId val="1545542608"/>
        <c:axId val="614198307"/>
      </c:lineChart>
      <c:catAx>
        <c:axId val="1545542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614198307"/>
      </c:catAx>
      <c:valAx>
        <c:axId val="614198307"/>
        <c:scaling>
          <c:orientation val="minMax"/>
          <c:min val="6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45542608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chemeClr val="dk1"/>
                </a:solidFill>
                <a:latin typeface="Tahoma"/>
              </a:defRPr>
            </a:pPr>
            <a:r>
              <a:rPr b="1" i="0" sz="1000">
                <a:solidFill>
                  <a:schemeClr val="dk1"/>
                </a:solidFill>
                <a:latin typeface="Tahoma"/>
              </a:rPr>
              <a:t>INSTAGRAM -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BB37E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'META-JAN.26'!$B$4:$B$11</c:f>
            </c:strRef>
          </c:cat>
          <c:val>
            <c:numRef>
              <c:f>'META-JAN.26'!$E$4:$E$11</c:f>
              <c:numCache/>
            </c:numRef>
          </c:val>
        </c:ser>
        <c:axId val="2145697536"/>
        <c:axId val="994927394"/>
      </c:barChart>
      <c:catAx>
        <c:axId val="2145697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994927394"/>
      </c:catAx>
      <c:valAx>
        <c:axId val="99492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2145697536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chemeClr val="dk1"/>
                </a:solidFill>
                <a:latin typeface="Tahoma"/>
              </a:defRPr>
            </a:pPr>
            <a:r>
              <a:rPr b="1" i="0" sz="1100">
                <a:solidFill>
                  <a:schemeClr val="dk1"/>
                </a:solidFill>
                <a:latin typeface="Tahoma"/>
              </a:rPr>
              <a:t>YOUTUBE -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'META-JAN.26'!$G$35:$G$36</c:f>
            </c:strRef>
          </c:tx>
          <c:spPr>
            <a:solidFill>
              <a:srgbClr val="EBB37E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'META-JAN.26'!$B$37:$B$44</c:f>
            </c:strRef>
          </c:cat>
          <c:val>
            <c:numRef>
              <c:f>'META-JAN.26'!$G$37:$G$44</c:f>
              <c:numCache/>
            </c:numRef>
          </c:val>
        </c:ser>
        <c:axId val="1213519094"/>
        <c:axId val="1732194857"/>
      </c:barChart>
      <c:catAx>
        <c:axId val="1213519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732194857"/>
      </c:catAx>
      <c:valAx>
        <c:axId val="173219485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13519094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chemeClr val="dk1"/>
                </a:solidFill>
                <a:latin typeface="+mn-lt"/>
              </a:defRPr>
            </a:pPr>
            <a:r>
              <a:rPr b="1" i="0" sz="1200">
                <a:solidFill>
                  <a:schemeClr val="dk1"/>
                </a:solidFill>
                <a:latin typeface="+mn-lt"/>
              </a:rPr>
              <a:t>GOOGLE MEU NEGÓCIO -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BB37E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'SEO_GMN-JAN.26'!$B$26:$B$33</c:f>
            </c:strRef>
          </c:cat>
          <c:val>
            <c:numRef>
              <c:f>'SEO_GMN-JAN.26'!$F$26:$F$33</c:f>
              <c:numCache/>
            </c:numRef>
          </c:val>
        </c:ser>
        <c:axId val="187385966"/>
        <c:axId val="940378819"/>
      </c:barChart>
      <c:catAx>
        <c:axId val="187385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940378819"/>
      </c:catAx>
      <c:valAx>
        <c:axId val="9403788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7385966"/>
      </c:valAx>
    </c:plotArea>
    <c:plotVisOnly val="1"/>
  </c:chart>
  <c:spPr>
    <a:solidFill>
      <a:schemeClr val="lt1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chemeClr val="dk1"/>
                </a:solidFill>
                <a:latin typeface="+mn-lt"/>
              </a:defRPr>
            </a:pPr>
            <a:r>
              <a:rPr b="1" i="0" sz="1200">
                <a:solidFill>
                  <a:schemeClr val="dk1"/>
                </a:solidFill>
                <a:latin typeface="+mn-lt"/>
              </a:rPr>
              <a:t>SEO - SITE (WOONRANK)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BB37E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'SEO_GMN-JAN.26'!$B$4:$B$11</c:f>
            </c:strRef>
          </c:cat>
          <c:val>
            <c:numRef>
              <c:f>'SEO_GMN-JAN.26'!$C$4:$C$11</c:f>
              <c:numCache/>
            </c:numRef>
          </c:val>
        </c:ser>
        <c:axId val="1655959883"/>
        <c:axId val="1779511121"/>
      </c:barChart>
      <c:catAx>
        <c:axId val="1655959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779511121"/>
      </c:catAx>
      <c:valAx>
        <c:axId val="177951112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55959883"/>
      </c:valAx>
    </c:plotArea>
    <c:plotVisOnly val="1"/>
  </c:chart>
  <c:spPr>
    <a:solidFill>
      <a:schemeClr val="lt1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RANKING - TOUCHPOINS DIGITAIS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BB37E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'SEO_GMN-JAN.26'!$B$47:$B$54</c:f>
            </c:strRef>
          </c:cat>
          <c:val>
            <c:numRef>
              <c:f>'SEO_GMN-JAN.26'!$J$47:$J$54</c:f>
              <c:numCache/>
            </c:numRef>
          </c:val>
        </c:ser>
        <c:axId val="203104715"/>
        <c:axId val="113430567"/>
      </c:barChart>
      <c:catAx>
        <c:axId val="203104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3430567"/>
      </c:catAx>
      <c:valAx>
        <c:axId val="113430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03104715"/>
      </c:valAx>
    </c:plotArea>
    <c:plotVisOnly val="1"/>
  </c:chart>
  <c:spPr>
    <a:solidFill>
      <a:schemeClr val="dk1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  <a:r>
              <a:rPr b="1" i="0" sz="1400">
                <a:solidFill>
                  <a:srgbClr val="000000"/>
                </a:solidFill>
                <a:latin typeface="+mn-lt"/>
              </a:rPr>
              <a:t>RADAR DE PERFORMANCE DOS PLAYERS</a:t>
            </a:r>
          </a:p>
        </c:rich>
      </c:tx>
      <c:layout>
        <c:manualLayout>
          <c:xMode val="edge"/>
          <c:yMode val="edge"/>
          <c:x val="0.027381888000000004"/>
          <c:y val="0.0177494429504418"/>
        </c:manualLayout>
      </c:layout>
      <c:overlay val="0"/>
    </c:title>
    <c:plotArea>
      <c:layout/>
      <c:radarChart>
        <c:radarStyle val="marker"/>
        <c:ser>
          <c:idx val="0"/>
          <c:order val="0"/>
          <c:tx>
            <c:strRef>
              <c:f>'SEO_GMN-JAN.26'!$B$53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'SEO_GMN-JAN.26'!$C$46:$I$46</c:f>
            </c:strRef>
          </c:cat>
          <c:val>
            <c:numRef>
              <c:f>'SEO_GMN-JAN.26'!$C$53:$I$53</c:f>
              <c:numCache/>
            </c:numRef>
          </c:val>
          <c:smooth val="1"/>
        </c:ser>
        <c:ser>
          <c:idx val="1"/>
          <c:order val="1"/>
          <c:tx>
            <c:strRef>
              <c:f>'SEO_GMN-JAN.26'!$B$51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'SEO_GMN-JAN.26'!$C$46:$I$46</c:f>
            </c:strRef>
          </c:cat>
          <c:val>
            <c:numRef>
              <c:f>'SEO_GMN-JAN.26'!$C$51:$I$51</c:f>
              <c:numCache/>
            </c:numRef>
          </c:val>
          <c:smooth val="1"/>
        </c:ser>
        <c:ser>
          <c:idx val="2"/>
          <c:order val="2"/>
          <c:tx>
            <c:strRef>
              <c:f>'SEO_GMN-JAN.26'!$B$48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'SEO_GMN-JAN.26'!$C$46:$I$46</c:f>
            </c:strRef>
          </c:cat>
          <c:val>
            <c:numRef>
              <c:f>'SEO_GMN-JAN.26'!$C$48:$I$48</c:f>
              <c:numCache/>
            </c:numRef>
          </c:val>
          <c:smooth val="1"/>
        </c:ser>
        <c:ser>
          <c:idx val="3"/>
          <c:order val="3"/>
          <c:tx>
            <c:strRef>
              <c:f>'SEO_GMN-JAN.26'!$B$47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'SEO_GMN-JAN.26'!$C$46:$I$46</c:f>
            </c:strRef>
          </c:cat>
          <c:val>
            <c:numRef>
              <c:f>'SEO_GMN-JAN.26'!$C$47:$I$47</c:f>
              <c:numCache/>
            </c:numRef>
          </c:val>
          <c:smooth val="1"/>
        </c:ser>
        <c:ser>
          <c:idx val="4"/>
          <c:order val="4"/>
          <c:tx>
            <c:strRef>
              <c:f>'SEO_GMN-JAN.26'!$B$49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'SEO_GMN-JAN.26'!$C$46:$I$46</c:f>
            </c:strRef>
          </c:cat>
          <c:val>
            <c:numRef>
              <c:f>'SEO_GMN-JAN.26'!$C$49:$I$49</c:f>
              <c:numCache/>
            </c:numRef>
          </c:val>
          <c:smooth val="1"/>
        </c:ser>
        <c:ser>
          <c:idx val="5"/>
          <c:order val="5"/>
          <c:tx>
            <c:strRef>
              <c:f>'SEO_GMN-JAN.26'!$B$50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'SEO_GMN-JAN.26'!$C$46:$I$46</c:f>
            </c:strRef>
          </c:cat>
          <c:val>
            <c:numRef>
              <c:f>'SEO_GMN-JAN.26'!$C$50:$I$50</c:f>
              <c:numCache/>
            </c:numRef>
          </c:val>
          <c:smooth val="1"/>
        </c:ser>
        <c:ser>
          <c:idx val="6"/>
          <c:order val="6"/>
          <c:tx>
            <c:strRef>
              <c:f>'SEO_GMN-JAN.26'!$B$52</c:f>
            </c:strRef>
          </c:tx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'SEO_GMN-JAN.26'!$C$46:$I$46</c:f>
            </c:strRef>
          </c:cat>
          <c:val>
            <c:numRef>
              <c:f>'SEO_GMN-JAN.26'!$C$52:$I$52</c:f>
              <c:numCache/>
            </c:numRef>
          </c:val>
          <c:smooth val="1"/>
        </c:ser>
        <c:ser>
          <c:idx val="7"/>
          <c:order val="7"/>
          <c:tx>
            <c:strRef>
              <c:f>'SEO_GMN-JAN.26'!$B$54</c:f>
            </c:strRef>
          </c:tx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'SEO_GMN-JAN.26'!$C$46:$I$46</c:f>
            </c:strRef>
          </c:cat>
          <c:val>
            <c:numRef>
              <c:f>'SEO_GMN-JAN.26'!$C$54:$I$54</c:f>
              <c:numCache/>
            </c:numRef>
          </c:val>
          <c:smooth val="1"/>
        </c:ser>
        <c:axId val="2038182289"/>
        <c:axId val="1098228818"/>
      </c:radarChart>
      <c:catAx>
        <c:axId val="2038182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228818"/>
      </c:catAx>
      <c:valAx>
        <c:axId val="1098228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182289"/>
      </c:valAx>
    </c:plotArea>
    <c:legend>
      <c:legendPos val="r"/>
      <c:overlay val="0"/>
      <c:txPr>
        <a:bodyPr/>
        <a:lstStyle/>
        <a:p>
          <a:pPr lvl="0">
            <a:defRPr b="0" i="0" sz="7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chemeClr val="dk1"/>
                </a:solidFill>
                <a:latin typeface="+mn-lt"/>
              </a:defRPr>
            </a:pPr>
            <a:r>
              <a:rPr b="1" i="0" sz="1200">
                <a:solidFill>
                  <a:schemeClr val="dk1"/>
                </a:solidFill>
                <a:latin typeface="+mn-lt"/>
              </a:rPr>
              <a:t>PERFORMANCE - SITE (PAGESPEED)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BB37E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6DBC1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EBB37E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'SEO_GMN-JAN.26'!$B$15:$B$22</c:f>
            </c:strRef>
          </c:cat>
          <c:val>
            <c:numRef>
              <c:f>'SEO_GMN-JAN.26'!$C$15:$C$22</c:f>
              <c:numCache/>
            </c:numRef>
          </c:val>
        </c:ser>
        <c:ser>
          <c:idx val="1"/>
          <c:order val="1"/>
          <c:spPr>
            <a:solidFill>
              <a:schemeClr val="dk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D9D9D9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numFmt formatCode="General" sourceLinked="1"/>
              <c:txPr>
                <a:bodyPr/>
                <a:lstStyle/>
                <a:p>
                  <a:pPr lvl="0">
                    <a:defRPr b="1" i="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'SEO_GMN-JAN.26'!$B$15:$B$22</c:f>
            </c:strRef>
          </c:cat>
          <c:val>
            <c:numRef>
              <c:f>'SEO_GMN-JAN.26'!$D$15:$D$22</c:f>
              <c:numCache/>
            </c:numRef>
          </c:val>
        </c:ser>
        <c:axId val="1498009012"/>
        <c:axId val="615373199"/>
      </c:barChart>
      <c:catAx>
        <c:axId val="1498009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615373199"/>
      </c:catAx>
      <c:valAx>
        <c:axId val="6153731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98009012"/>
      </c:valAx>
    </c:plotArea>
    <c:plotVisOnly val="1"/>
  </c:chart>
  <c:spPr>
    <a:solidFill>
      <a:schemeClr val="lt1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Roboto"/>
              </a:defRPr>
            </a:pPr>
            <a:r>
              <a:rPr b="1" i="0" sz="1600">
                <a:solidFill>
                  <a:srgbClr val="757575"/>
                </a:solidFill>
                <a:latin typeface="Roboto"/>
              </a:rPr>
              <a:t>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'SEO_GMN-JAN.26'!$C$90:$H$90</c:f>
            </c:strRef>
          </c:cat>
          <c:val>
            <c:numRef>
              <c:f>'SEO_GMN-JAN.26'!$C$91:$H$91</c:f>
              <c:numCache/>
            </c:numRef>
          </c:val>
          <c:smooth val="0"/>
        </c:ser>
        <c:axId val="1176346153"/>
        <c:axId val="458322078"/>
      </c:lineChart>
      <c:catAx>
        <c:axId val="1176346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458322078"/>
      </c:catAx>
      <c:valAx>
        <c:axId val="458322078"/>
        <c:scaling>
          <c:orientation val="minMax"/>
          <c:min val="6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76346153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Chart4.png"/><Relationship Id="rId3" Type="http://schemas.openxmlformats.org/officeDocument/2006/relationships/image" Target="../media/Chart5.png"/><Relationship Id="rId4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image" Target="../media/Chart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image" Target="../media/Chart15.png"/><Relationship Id="rId3" Type="http://schemas.openxmlformats.org/officeDocument/2006/relationships/image" Target="../media/Chart16.png"/><Relationship Id="rId4" Type="http://schemas.openxmlformats.org/officeDocument/2006/relationships/chart" Target="../charts/chart1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5" Type="http://schemas.openxmlformats.org/officeDocument/2006/relationships/chart" Target="../charts/chart16.xml"/><Relationship Id="rId6" Type="http://schemas.openxmlformats.org/officeDocument/2006/relationships/chart" Target="../charts/chart17.xml"/><Relationship Id="rId7" Type="http://schemas.openxmlformats.org/officeDocument/2006/relationships/image" Target="../media/Chart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43</xdr:row>
      <xdr:rowOff>171450</xdr:rowOff>
    </xdr:from>
    <xdr:ext cx="3667125" cy="2047875"/>
    <xdr:graphicFrame>
      <xdr:nvGraphicFramePr>
        <xdr:cNvPr id="155302257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257175</xdr:colOff>
      <xdr:row>55</xdr:row>
      <xdr:rowOff>0</xdr:rowOff>
    </xdr:from>
    <xdr:ext cx="3667125" cy="2047875"/>
    <xdr:pic>
      <xdr:nvPicPr>
        <xdr:cNvPr id="1535116969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9525</xdr:rowOff>
    </xdr:from>
    <xdr:ext cx="4448175" cy="1981200"/>
    <xdr:graphicFrame>
      <xdr:nvGraphicFramePr>
        <xdr:cNvPr id="330769982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523875</xdr:colOff>
      <xdr:row>11</xdr:row>
      <xdr:rowOff>76200</xdr:rowOff>
    </xdr:from>
    <xdr:ext cx="4448175" cy="1981200"/>
    <xdr:pic>
      <xdr:nvPicPr>
        <xdr:cNvPr id="1935189264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23</xdr:row>
      <xdr:rowOff>133350</xdr:rowOff>
    </xdr:from>
    <xdr:ext cx="4448175" cy="1981200"/>
    <xdr:pic>
      <xdr:nvPicPr>
        <xdr:cNvPr id="1362400217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371475</xdr:colOff>
      <xdr:row>34</xdr:row>
      <xdr:rowOff>142875</xdr:rowOff>
    </xdr:from>
    <xdr:ext cx="4448175" cy="1981200"/>
    <xdr:graphicFrame>
      <xdr:nvGraphicFramePr>
        <xdr:cNvPr id="17489423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361950</xdr:colOff>
      <xdr:row>22</xdr:row>
      <xdr:rowOff>133350</xdr:rowOff>
    </xdr:from>
    <xdr:ext cx="5334000" cy="2047875"/>
    <xdr:graphicFrame>
      <xdr:nvGraphicFramePr>
        <xdr:cNvPr id="2033074218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361950</xdr:colOff>
      <xdr:row>0</xdr:row>
      <xdr:rowOff>104775</xdr:rowOff>
    </xdr:from>
    <xdr:ext cx="5334000" cy="2047875"/>
    <xdr:graphicFrame>
      <xdr:nvGraphicFramePr>
        <xdr:cNvPr id="576016462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257175</xdr:colOff>
      <xdr:row>43</xdr:row>
      <xdr:rowOff>171450</xdr:rowOff>
    </xdr:from>
    <xdr:ext cx="3667125" cy="2047875"/>
    <xdr:graphicFrame>
      <xdr:nvGraphicFramePr>
        <xdr:cNvPr id="1432468012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76200</xdr:colOff>
      <xdr:row>33</xdr:row>
      <xdr:rowOff>19050</xdr:rowOff>
    </xdr:from>
    <xdr:ext cx="3667125" cy="2105025"/>
    <xdr:graphicFrame>
      <xdr:nvGraphicFramePr>
        <xdr:cNvPr id="1118966645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361950</xdr:colOff>
      <xdr:row>11</xdr:row>
      <xdr:rowOff>95250</xdr:rowOff>
    </xdr:from>
    <xdr:ext cx="5334000" cy="2047875"/>
    <xdr:graphicFrame>
      <xdr:nvGraphicFramePr>
        <xdr:cNvPr id="1993566854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390525</xdr:colOff>
      <xdr:row>76</xdr:row>
      <xdr:rowOff>171450</xdr:rowOff>
    </xdr:from>
    <xdr:ext cx="3600450" cy="2219325"/>
    <xdr:graphicFrame>
      <xdr:nvGraphicFramePr>
        <xdr:cNvPr id="1594254961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257175</xdr:colOff>
      <xdr:row>55</xdr:row>
      <xdr:rowOff>0</xdr:rowOff>
    </xdr:from>
    <xdr:ext cx="3667125" cy="2047875"/>
    <xdr:pic>
      <xdr:nvPicPr>
        <xdr:cNvPr id="56337858" name="Chart1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9525</xdr:rowOff>
    </xdr:from>
    <xdr:ext cx="4448175" cy="1981200"/>
    <xdr:graphicFrame>
      <xdr:nvGraphicFramePr>
        <xdr:cNvPr id="191342393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523875</xdr:colOff>
      <xdr:row>11</xdr:row>
      <xdr:rowOff>76200</xdr:rowOff>
    </xdr:from>
    <xdr:ext cx="4448175" cy="1981200"/>
    <xdr:pic>
      <xdr:nvPicPr>
        <xdr:cNvPr id="1083481970" name="Chart1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23</xdr:row>
      <xdr:rowOff>133350</xdr:rowOff>
    </xdr:from>
    <xdr:ext cx="4448175" cy="1981200"/>
    <xdr:pic>
      <xdr:nvPicPr>
        <xdr:cNvPr id="1600077544" name="Chart1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371475</xdr:colOff>
      <xdr:row>34</xdr:row>
      <xdr:rowOff>142875</xdr:rowOff>
    </xdr:from>
    <xdr:ext cx="4448175" cy="1981200"/>
    <xdr:graphicFrame>
      <xdr:nvGraphicFramePr>
        <xdr:cNvPr id="876331145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361950</xdr:colOff>
      <xdr:row>22</xdr:row>
      <xdr:rowOff>133350</xdr:rowOff>
    </xdr:from>
    <xdr:ext cx="5334000" cy="2047875"/>
    <xdr:graphicFrame>
      <xdr:nvGraphicFramePr>
        <xdr:cNvPr id="1779837350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361950</xdr:colOff>
      <xdr:row>0</xdr:row>
      <xdr:rowOff>104775</xdr:rowOff>
    </xdr:from>
    <xdr:ext cx="5334000" cy="2047875"/>
    <xdr:graphicFrame>
      <xdr:nvGraphicFramePr>
        <xdr:cNvPr id="87456125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257175</xdr:colOff>
      <xdr:row>43</xdr:row>
      <xdr:rowOff>171450</xdr:rowOff>
    </xdr:from>
    <xdr:ext cx="3667125" cy="2047875"/>
    <xdr:graphicFrame>
      <xdr:nvGraphicFramePr>
        <xdr:cNvPr id="167436056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76200</xdr:colOff>
      <xdr:row>33</xdr:row>
      <xdr:rowOff>19050</xdr:rowOff>
    </xdr:from>
    <xdr:ext cx="3667125" cy="2105025"/>
    <xdr:graphicFrame>
      <xdr:nvGraphicFramePr>
        <xdr:cNvPr id="1164552958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361950</xdr:colOff>
      <xdr:row>11</xdr:row>
      <xdr:rowOff>95250</xdr:rowOff>
    </xdr:from>
    <xdr:ext cx="5334000" cy="2047875"/>
    <xdr:graphicFrame>
      <xdr:nvGraphicFramePr>
        <xdr:cNvPr id="1523073881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390525</xdr:colOff>
      <xdr:row>76</xdr:row>
      <xdr:rowOff>171450</xdr:rowOff>
    </xdr:from>
    <xdr:ext cx="3600450" cy="2219325"/>
    <xdr:graphicFrame>
      <xdr:nvGraphicFramePr>
        <xdr:cNvPr id="2018150040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257175</xdr:colOff>
      <xdr:row>55</xdr:row>
      <xdr:rowOff>0</xdr:rowOff>
    </xdr:from>
    <xdr:ext cx="3667125" cy="2047875"/>
    <xdr:pic>
      <xdr:nvPicPr>
        <xdr:cNvPr id="569197919" name="Chart2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company/lepera/" TargetMode="External"/><Relationship Id="rId22" Type="http://schemas.openxmlformats.org/officeDocument/2006/relationships/hyperlink" Target="https://www.linkedin.com/company/marketingestrategia/" TargetMode="External"/><Relationship Id="rId21" Type="http://schemas.openxmlformats.org/officeDocument/2006/relationships/hyperlink" Target="https://www.linkedin.com/company/notopogestao/" TargetMode="External"/><Relationship Id="rId24" Type="http://schemas.openxmlformats.org/officeDocument/2006/relationships/hyperlink" Target="https://www.linkedin.com/company/nomaze/" TargetMode="External"/><Relationship Id="rId23" Type="http://schemas.openxmlformats.org/officeDocument/2006/relationships/hyperlink" Target="https://www.linkedin.com/company/drb-marketing-consultoria/" TargetMode="External"/><Relationship Id="rId1" Type="http://schemas.openxmlformats.org/officeDocument/2006/relationships/hyperlink" Target="https://www.notjustanalytics.com/" TargetMode="External"/><Relationship Id="rId2" Type="http://schemas.openxmlformats.org/officeDocument/2006/relationships/hyperlink" Target="https://www.instagram.com/vamos.nomaze/" TargetMode="External"/><Relationship Id="rId3" Type="http://schemas.openxmlformats.org/officeDocument/2006/relationships/hyperlink" Target="https://www.instagram.com/fredburlamaqui/" TargetMode="External"/><Relationship Id="rId4" Type="http://schemas.openxmlformats.org/officeDocument/2006/relationships/hyperlink" Target="https://www.instagram.com/leodamkt/" TargetMode="External"/><Relationship Id="rId9" Type="http://schemas.openxmlformats.org/officeDocument/2006/relationships/hyperlink" Target="https://www.instagram.com/drbmkt/" TargetMode="External"/><Relationship Id="rId26" Type="http://schemas.openxmlformats.org/officeDocument/2006/relationships/hyperlink" Target="https://www.youtube.com/@leodamkt" TargetMode="External"/><Relationship Id="rId25" Type="http://schemas.openxmlformats.org/officeDocument/2006/relationships/hyperlink" Target="https://www.youtube.com/@marketingeestrategia9917" TargetMode="External"/><Relationship Id="rId28" Type="http://schemas.openxmlformats.org/officeDocument/2006/relationships/hyperlink" Target="https://www.youtube.com/user/lepera2007" TargetMode="External"/><Relationship Id="rId27" Type="http://schemas.openxmlformats.org/officeDocument/2006/relationships/hyperlink" Target="https://www.youtube.com/@notopogestao" TargetMode="External"/><Relationship Id="rId5" Type="http://schemas.openxmlformats.org/officeDocument/2006/relationships/hyperlink" Target="https://www.instagram.com/artesania_marketing/" TargetMode="External"/><Relationship Id="rId6" Type="http://schemas.openxmlformats.org/officeDocument/2006/relationships/hyperlink" Target="https://www.instagram.com/agencia.lepera/" TargetMode="External"/><Relationship Id="rId29" Type="http://schemas.openxmlformats.org/officeDocument/2006/relationships/hyperlink" Target="https://www.youtube.com/@dbastreghi" TargetMode="External"/><Relationship Id="rId7" Type="http://schemas.openxmlformats.org/officeDocument/2006/relationships/hyperlink" Target="https://www.instagram.com/notopogestao" TargetMode="External"/><Relationship Id="rId8" Type="http://schemas.openxmlformats.org/officeDocument/2006/relationships/hyperlink" Target="https://www.instagram.com/handzmarketing/" TargetMode="External"/><Relationship Id="rId31" Type="http://schemas.openxmlformats.org/officeDocument/2006/relationships/hyperlink" Target="https://www.tiktok.com/@leodamkt" TargetMode="External"/><Relationship Id="rId30" Type="http://schemas.openxmlformats.org/officeDocument/2006/relationships/hyperlink" Target="https://www.youtube.com/@nomaze" TargetMode="External"/><Relationship Id="rId11" Type="http://schemas.openxmlformats.org/officeDocument/2006/relationships/hyperlink" Target="https://www.facebook.com/NoTopoMarketing" TargetMode="External"/><Relationship Id="rId33" Type="http://schemas.openxmlformats.org/officeDocument/2006/relationships/hyperlink" Target="https://www.youtube.com/@nomaze" TargetMode="External"/><Relationship Id="rId10" Type="http://schemas.openxmlformats.org/officeDocument/2006/relationships/hyperlink" Target="https://www.facebook.com/leodamkt" TargetMode="External"/><Relationship Id="rId32" Type="http://schemas.openxmlformats.org/officeDocument/2006/relationships/hyperlink" Target="https://www.youtube.com/@dbastreghi" TargetMode="External"/><Relationship Id="rId13" Type="http://schemas.openxmlformats.org/officeDocument/2006/relationships/hyperlink" Target="https://www.facebook.com/frederico.burlamaqui" TargetMode="External"/><Relationship Id="rId12" Type="http://schemas.openxmlformats.org/officeDocument/2006/relationships/hyperlink" Target="https://www.facebook.com/lepera.comunicacao/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www.facebook.com/drbmkt" TargetMode="External"/><Relationship Id="rId14" Type="http://schemas.openxmlformats.org/officeDocument/2006/relationships/hyperlink" Target="https://www.facebook.com/handzmarketingoutsourcing" TargetMode="External"/><Relationship Id="rId17" Type="http://schemas.openxmlformats.org/officeDocument/2006/relationships/hyperlink" Target="https://www.linkedin.com/company/artesaniamarketing/?viewAsMember=true" TargetMode="External"/><Relationship Id="rId16" Type="http://schemas.openxmlformats.org/officeDocument/2006/relationships/hyperlink" Target="https://www.facebook.com/profile.php?id=61556292429115" TargetMode="External"/><Relationship Id="rId19" Type="http://schemas.openxmlformats.org/officeDocument/2006/relationships/hyperlink" Target="https://www.linkedin.com/company/handz-marketing/" TargetMode="External"/><Relationship Id="rId18" Type="http://schemas.openxmlformats.org/officeDocument/2006/relationships/hyperlink" Target="https://www.linkedin.com/company/LEODAmkt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eoda.com.br/" TargetMode="External"/><Relationship Id="rId42" Type="http://schemas.openxmlformats.org/officeDocument/2006/relationships/hyperlink" Target="https://maps.app.goo.gl/t4JqRScFWgYmqRLj6" TargetMode="External"/><Relationship Id="rId41" Type="http://schemas.openxmlformats.org/officeDocument/2006/relationships/hyperlink" Target="https://artesaniamarketing.com.br/" TargetMode="External"/><Relationship Id="rId44" Type="http://schemas.openxmlformats.org/officeDocument/2006/relationships/hyperlink" Target="https://www.facebook.com/lepera.comunicacao/" TargetMode="External"/><Relationship Id="rId43" Type="http://schemas.openxmlformats.org/officeDocument/2006/relationships/hyperlink" Target="https://www.instagram.com/leodamkt/" TargetMode="External"/><Relationship Id="rId46" Type="http://schemas.openxmlformats.org/officeDocument/2006/relationships/hyperlink" Target="https://www.youtube.com/@notopogestao" TargetMode="External"/><Relationship Id="rId45" Type="http://schemas.openxmlformats.org/officeDocument/2006/relationships/hyperlink" Target="https://www.linkedin.com/company/handz-marketing/" TargetMode="External"/><Relationship Id="rId48" Type="http://schemas.openxmlformats.org/officeDocument/2006/relationships/hyperlink" Target="https://handz.marketing/" TargetMode="External"/><Relationship Id="rId47" Type="http://schemas.openxmlformats.org/officeDocument/2006/relationships/hyperlink" Target="https://marketingestrategia.com.br/" TargetMode="External"/><Relationship Id="rId49" Type="http://schemas.openxmlformats.org/officeDocument/2006/relationships/hyperlink" Target="https://maps.app.goo.gl/gJB9upaEjSUFAUyo6" TargetMode="External"/><Relationship Id="rId103" Type="http://schemas.openxmlformats.org/officeDocument/2006/relationships/drawing" Target="../drawings/drawing2.xml"/><Relationship Id="rId102" Type="http://schemas.openxmlformats.org/officeDocument/2006/relationships/hyperlink" Target="https://www.drb.marketing/" TargetMode="External"/><Relationship Id="rId101" Type="http://schemas.openxmlformats.org/officeDocument/2006/relationships/hyperlink" Target="https://handz.marketing/" TargetMode="External"/><Relationship Id="rId100" Type="http://schemas.openxmlformats.org/officeDocument/2006/relationships/hyperlink" Target="https://notopo.com/" TargetMode="External"/><Relationship Id="rId31" Type="http://schemas.openxmlformats.org/officeDocument/2006/relationships/hyperlink" Target="https://www.linkedin.com/company/artesaniamarketing/?viewAsMember=true" TargetMode="External"/><Relationship Id="rId30" Type="http://schemas.openxmlformats.org/officeDocument/2006/relationships/hyperlink" Target="https://www.facebook.com/leodamkt" TargetMode="External"/><Relationship Id="rId33" Type="http://schemas.openxmlformats.org/officeDocument/2006/relationships/hyperlink" Target="https://lepera.com.br/" TargetMode="External"/><Relationship Id="rId32" Type="http://schemas.openxmlformats.org/officeDocument/2006/relationships/hyperlink" Target="https://www.youtube.com/@marketingeestrategia9917" TargetMode="External"/><Relationship Id="rId35" Type="http://schemas.openxmlformats.org/officeDocument/2006/relationships/hyperlink" Target="https://maps.app.goo.gl/DmSoh2xGXQAFm4ag6" TargetMode="External"/><Relationship Id="rId34" Type="http://schemas.openxmlformats.org/officeDocument/2006/relationships/hyperlink" Target="https://marketingestrategia.com.br/" TargetMode="External"/><Relationship Id="rId37" Type="http://schemas.openxmlformats.org/officeDocument/2006/relationships/hyperlink" Target="https://www.facebook.com/NoTopoMarketing" TargetMode="External"/><Relationship Id="rId36" Type="http://schemas.openxmlformats.org/officeDocument/2006/relationships/hyperlink" Target="https://www.instagram.com/fredburlamaqui/" TargetMode="External"/><Relationship Id="rId39" Type="http://schemas.openxmlformats.org/officeDocument/2006/relationships/hyperlink" Target="https://www.youtube.com/@leodamkt" TargetMode="External"/><Relationship Id="rId38" Type="http://schemas.openxmlformats.org/officeDocument/2006/relationships/hyperlink" Target="https://www.linkedin.com/company/LEODAmkt/" TargetMode="External"/><Relationship Id="rId20" Type="http://schemas.openxmlformats.org/officeDocument/2006/relationships/hyperlink" Target="https://maps.app.goo.gl/DmSoh2xGXQAFm4ag6" TargetMode="External"/><Relationship Id="rId22" Type="http://schemas.openxmlformats.org/officeDocument/2006/relationships/hyperlink" Target="https://maps.app.goo.gl/gJB9upaEjSUFAUyo6" TargetMode="External"/><Relationship Id="rId21" Type="http://schemas.openxmlformats.org/officeDocument/2006/relationships/hyperlink" Target="https://maps.app.goo.gl/t4JqRScFWgYmqRLj6" TargetMode="External"/><Relationship Id="rId24" Type="http://schemas.openxmlformats.org/officeDocument/2006/relationships/hyperlink" Target="https://maps.app.goo.gl/nTJGjnLgJaiZ7AzT7" TargetMode="External"/><Relationship Id="rId23" Type="http://schemas.openxmlformats.org/officeDocument/2006/relationships/hyperlink" Target="https://maps.app.goo.gl/kXHCgyC9WDJez8jR8" TargetMode="External"/><Relationship Id="rId26" Type="http://schemas.openxmlformats.org/officeDocument/2006/relationships/hyperlink" Target="https://www.nomaze.com.br/" TargetMode="External"/><Relationship Id="rId25" Type="http://schemas.openxmlformats.org/officeDocument/2006/relationships/hyperlink" Target="https://share.google/ympZh9YOIPcIEPhww" TargetMode="External"/><Relationship Id="rId28" Type="http://schemas.openxmlformats.org/officeDocument/2006/relationships/hyperlink" Target="https://maps.app.goo.gl/wFUp3a81Jj9ihJXn8" TargetMode="External"/><Relationship Id="rId27" Type="http://schemas.openxmlformats.org/officeDocument/2006/relationships/hyperlink" Target="https://www.nomaze.com.br/" TargetMode="External"/><Relationship Id="rId29" Type="http://schemas.openxmlformats.org/officeDocument/2006/relationships/hyperlink" Target="https://www.instagram.com/vamos.nomaze/" TargetMode="External"/><Relationship Id="rId95" Type="http://schemas.openxmlformats.org/officeDocument/2006/relationships/hyperlink" Target="https://marketingestrategia.com.br/" TargetMode="External"/><Relationship Id="rId94" Type="http://schemas.openxmlformats.org/officeDocument/2006/relationships/hyperlink" Target="https://marketingestrategia.com.br/" TargetMode="External"/><Relationship Id="rId97" Type="http://schemas.openxmlformats.org/officeDocument/2006/relationships/hyperlink" Target="https://www.nomaze.com.br/" TargetMode="External"/><Relationship Id="rId96" Type="http://schemas.openxmlformats.org/officeDocument/2006/relationships/hyperlink" Target="https://leoda.com.br/" TargetMode="External"/><Relationship Id="rId11" Type="http://schemas.openxmlformats.org/officeDocument/2006/relationships/hyperlink" Target="https://www.nomaze.com.br/" TargetMode="External"/><Relationship Id="rId99" Type="http://schemas.openxmlformats.org/officeDocument/2006/relationships/hyperlink" Target="https://lepera.com.br/" TargetMode="External"/><Relationship Id="rId10" Type="http://schemas.openxmlformats.org/officeDocument/2006/relationships/hyperlink" Target="https://pagespeed.web.dev/" TargetMode="External"/><Relationship Id="rId98" Type="http://schemas.openxmlformats.org/officeDocument/2006/relationships/hyperlink" Target="https://artesaniamarketing.com.br/" TargetMode="External"/><Relationship Id="rId13" Type="http://schemas.openxmlformats.org/officeDocument/2006/relationships/hyperlink" Target="https://artesaniamarketing.com.br/" TargetMode="External"/><Relationship Id="rId12" Type="http://schemas.openxmlformats.org/officeDocument/2006/relationships/hyperlink" Target="https://marketingestrategia.com.br/" TargetMode="External"/><Relationship Id="rId91" Type="http://schemas.openxmlformats.org/officeDocument/2006/relationships/hyperlink" Target="https://artesaniamarketing.com.br/" TargetMode="External"/><Relationship Id="rId90" Type="http://schemas.openxmlformats.org/officeDocument/2006/relationships/hyperlink" Target="https://lepera.com.br/" TargetMode="External"/><Relationship Id="rId93" Type="http://schemas.openxmlformats.org/officeDocument/2006/relationships/hyperlink" Target="https://www.drb.marketing/" TargetMode="External"/><Relationship Id="rId92" Type="http://schemas.openxmlformats.org/officeDocument/2006/relationships/hyperlink" Target="https://handz.marketing/" TargetMode="External"/><Relationship Id="rId15" Type="http://schemas.openxmlformats.org/officeDocument/2006/relationships/hyperlink" Target="https://www.drb.marketing/" TargetMode="External"/><Relationship Id="rId14" Type="http://schemas.openxmlformats.org/officeDocument/2006/relationships/hyperlink" Target="https://handz.marketing/" TargetMode="External"/><Relationship Id="rId17" Type="http://schemas.openxmlformats.org/officeDocument/2006/relationships/hyperlink" Target="https://notopo.com/" TargetMode="External"/><Relationship Id="rId16" Type="http://schemas.openxmlformats.org/officeDocument/2006/relationships/hyperlink" Target="https://leoda.com.br/" TargetMode="External"/><Relationship Id="rId19" Type="http://schemas.openxmlformats.org/officeDocument/2006/relationships/hyperlink" Target="https://maps.app.goo.gl/wFUp3a81Jj9ihJXn8" TargetMode="External"/><Relationship Id="rId18" Type="http://schemas.openxmlformats.org/officeDocument/2006/relationships/hyperlink" Target="https://lepera.com.br/" TargetMode="External"/><Relationship Id="rId84" Type="http://schemas.openxmlformats.org/officeDocument/2006/relationships/hyperlink" Target="https://handz.marketing/" TargetMode="External"/><Relationship Id="rId83" Type="http://schemas.openxmlformats.org/officeDocument/2006/relationships/hyperlink" Target="https://artesaniamarketing.com.br/" TargetMode="External"/><Relationship Id="rId86" Type="http://schemas.openxmlformats.org/officeDocument/2006/relationships/hyperlink" Target="https://leoda.com.br/" TargetMode="External"/><Relationship Id="rId85" Type="http://schemas.openxmlformats.org/officeDocument/2006/relationships/hyperlink" Target="https://www.drb.marketing/" TargetMode="External"/><Relationship Id="rId88" Type="http://schemas.openxmlformats.org/officeDocument/2006/relationships/hyperlink" Target="https://www.nomaze.com.br/" TargetMode="External"/><Relationship Id="rId87" Type="http://schemas.openxmlformats.org/officeDocument/2006/relationships/hyperlink" Target="https://marketingestrategia.com.br/" TargetMode="External"/><Relationship Id="rId89" Type="http://schemas.openxmlformats.org/officeDocument/2006/relationships/hyperlink" Target="https://notopo.com/" TargetMode="External"/><Relationship Id="rId80" Type="http://schemas.openxmlformats.org/officeDocument/2006/relationships/hyperlink" Target="https://www.nomaze.com.br/" TargetMode="External"/><Relationship Id="rId82" Type="http://schemas.openxmlformats.org/officeDocument/2006/relationships/hyperlink" Target="https://lepera.com.br/" TargetMode="External"/><Relationship Id="rId81" Type="http://schemas.openxmlformats.org/officeDocument/2006/relationships/hyperlink" Target="https://notopo.com/" TargetMode="External"/><Relationship Id="rId1" Type="http://schemas.openxmlformats.org/officeDocument/2006/relationships/hyperlink" Target="https://www.woorank.com/pt" TargetMode="External"/><Relationship Id="rId2" Type="http://schemas.openxmlformats.org/officeDocument/2006/relationships/hyperlink" Target="https://www.nomaze.com.br/" TargetMode="External"/><Relationship Id="rId3" Type="http://schemas.openxmlformats.org/officeDocument/2006/relationships/hyperlink" Target="https://lepera.com.br/" TargetMode="External"/><Relationship Id="rId4" Type="http://schemas.openxmlformats.org/officeDocument/2006/relationships/hyperlink" Target="https://leoda.com.br/" TargetMode="External"/><Relationship Id="rId9" Type="http://schemas.openxmlformats.org/officeDocument/2006/relationships/hyperlink" Target="https://www.drb.marketing/" TargetMode="External"/><Relationship Id="rId5" Type="http://schemas.openxmlformats.org/officeDocument/2006/relationships/hyperlink" Target="https://marketingestrategia.com.br/" TargetMode="External"/><Relationship Id="rId6" Type="http://schemas.openxmlformats.org/officeDocument/2006/relationships/hyperlink" Target="https://notopo.com/" TargetMode="External"/><Relationship Id="rId7" Type="http://schemas.openxmlformats.org/officeDocument/2006/relationships/hyperlink" Target="https://handz.marketing/" TargetMode="External"/><Relationship Id="rId8" Type="http://schemas.openxmlformats.org/officeDocument/2006/relationships/hyperlink" Target="https://artesaniamarketing.com.br/" TargetMode="External"/><Relationship Id="rId73" Type="http://schemas.openxmlformats.org/officeDocument/2006/relationships/hyperlink" Target="https://www.linkedin.com/company/drb-marketing-consultoria/" TargetMode="External"/><Relationship Id="rId72" Type="http://schemas.openxmlformats.org/officeDocument/2006/relationships/hyperlink" Target="https://www.facebook.com/profile.php?id=61556292429115" TargetMode="External"/><Relationship Id="rId75" Type="http://schemas.openxmlformats.org/officeDocument/2006/relationships/hyperlink" Target="https://lepera.com.br/" TargetMode="External"/><Relationship Id="rId74" Type="http://schemas.openxmlformats.org/officeDocument/2006/relationships/hyperlink" Target="https://www.drb.marketing/" TargetMode="External"/><Relationship Id="rId77" Type="http://schemas.openxmlformats.org/officeDocument/2006/relationships/hyperlink" Target="https://www.linkedin.com/company/nomaze/" TargetMode="External"/><Relationship Id="rId76" Type="http://schemas.openxmlformats.org/officeDocument/2006/relationships/hyperlink" Target="https://www.instagram.com/drbmkt/" TargetMode="External"/><Relationship Id="rId79" Type="http://schemas.openxmlformats.org/officeDocument/2006/relationships/hyperlink" Target="https://marketingestrategia.com.br/" TargetMode="External"/><Relationship Id="rId78" Type="http://schemas.openxmlformats.org/officeDocument/2006/relationships/hyperlink" Target="https://leoda.com.br/" TargetMode="External"/><Relationship Id="rId71" Type="http://schemas.openxmlformats.org/officeDocument/2006/relationships/hyperlink" Target="https://www.instagram.com/handzmarketing/" TargetMode="External"/><Relationship Id="rId70" Type="http://schemas.openxmlformats.org/officeDocument/2006/relationships/hyperlink" Target="https://share.google/ympZh9YOIPcIEPhww" TargetMode="External"/><Relationship Id="rId62" Type="http://schemas.openxmlformats.org/officeDocument/2006/relationships/hyperlink" Target="https://leoda.com.br/" TargetMode="External"/><Relationship Id="rId61" Type="http://schemas.openxmlformats.org/officeDocument/2006/relationships/hyperlink" Target="https://handz.marketing/" TargetMode="External"/><Relationship Id="rId64" Type="http://schemas.openxmlformats.org/officeDocument/2006/relationships/hyperlink" Target="https://www.instagram.com/notopogestao" TargetMode="External"/><Relationship Id="rId63" Type="http://schemas.openxmlformats.org/officeDocument/2006/relationships/hyperlink" Target="https://maps.app.goo.gl/nTJGjnLgJaiZ7AzT7" TargetMode="External"/><Relationship Id="rId66" Type="http://schemas.openxmlformats.org/officeDocument/2006/relationships/hyperlink" Target="https://www.linkedin.com/company/marketingestrategia/" TargetMode="External"/><Relationship Id="rId65" Type="http://schemas.openxmlformats.org/officeDocument/2006/relationships/hyperlink" Target="https://www.facebook.com/drbmkt" TargetMode="External"/><Relationship Id="rId68" Type="http://schemas.openxmlformats.org/officeDocument/2006/relationships/hyperlink" Target="https://artesaniamarketing.com.br/" TargetMode="External"/><Relationship Id="rId67" Type="http://schemas.openxmlformats.org/officeDocument/2006/relationships/hyperlink" Target="https://www.youtube.com/@nomaze" TargetMode="External"/><Relationship Id="rId60" Type="http://schemas.openxmlformats.org/officeDocument/2006/relationships/hyperlink" Target="https://www.youtube.com/@dbastreghi" TargetMode="External"/><Relationship Id="rId69" Type="http://schemas.openxmlformats.org/officeDocument/2006/relationships/hyperlink" Target="https://notopo.com/" TargetMode="External"/><Relationship Id="rId51" Type="http://schemas.openxmlformats.org/officeDocument/2006/relationships/hyperlink" Target="https://www.facebook.com/frederico.burlamaqui" TargetMode="External"/><Relationship Id="rId50" Type="http://schemas.openxmlformats.org/officeDocument/2006/relationships/hyperlink" Target="https://www.instagram.com/artesania_marketing/" TargetMode="External"/><Relationship Id="rId53" Type="http://schemas.openxmlformats.org/officeDocument/2006/relationships/hyperlink" Target="https://www.youtube.com/user/lepera2007" TargetMode="External"/><Relationship Id="rId52" Type="http://schemas.openxmlformats.org/officeDocument/2006/relationships/hyperlink" Target="https://www.linkedin.com/company/lepera/" TargetMode="External"/><Relationship Id="rId55" Type="http://schemas.openxmlformats.org/officeDocument/2006/relationships/hyperlink" Target="https://www.drb.marketing/" TargetMode="External"/><Relationship Id="rId54" Type="http://schemas.openxmlformats.org/officeDocument/2006/relationships/hyperlink" Target="https://notopo.com/" TargetMode="External"/><Relationship Id="rId57" Type="http://schemas.openxmlformats.org/officeDocument/2006/relationships/hyperlink" Target="https://www.instagram.com/agencia.lepera/" TargetMode="External"/><Relationship Id="rId56" Type="http://schemas.openxmlformats.org/officeDocument/2006/relationships/hyperlink" Target="https://maps.app.goo.gl/kXHCgyC9WDJez8jR8" TargetMode="External"/><Relationship Id="rId59" Type="http://schemas.openxmlformats.org/officeDocument/2006/relationships/hyperlink" Target="https://www.linkedin.com/company/notopogestao/" TargetMode="External"/><Relationship Id="rId58" Type="http://schemas.openxmlformats.org/officeDocument/2006/relationships/hyperlink" Target="https://www.facebook.com/handzmarketingoutsourcing" TargetMode="External"/></Relationships>
</file>

<file path=xl/worksheets/_rels/sheet3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youtube.com/@mecan_oficial" TargetMode="External"/><Relationship Id="rId30" Type="http://schemas.openxmlformats.org/officeDocument/2006/relationships/hyperlink" Target="https://www.youtube.com/@dbastreghi" TargetMode="External"/><Relationship Id="rId33" Type="http://schemas.openxmlformats.org/officeDocument/2006/relationships/drawing" Target="../drawings/drawing3.xml"/><Relationship Id="rId32" Type="http://schemas.openxmlformats.org/officeDocument/2006/relationships/hyperlink" Target="https://www.youtube.com/@nomaze" TargetMode="External"/><Relationship Id="rId20" Type="http://schemas.openxmlformats.org/officeDocument/2006/relationships/hyperlink" Target="https://www.linkedin.com/company/artesaniamarketing/?viewAsMember=true" TargetMode="External"/><Relationship Id="rId22" Type="http://schemas.openxmlformats.org/officeDocument/2006/relationships/hyperlink" Target="https://www.linkedin.com/company/marketingestrategia/" TargetMode="External"/><Relationship Id="rId21" Type="http://schemas.openxmlformats.org/officeDocument/2006/relationships/hyperlink" Target="https://www.linkedin.com/company/notopogestao/" TargetMode="External"/><Relationship Id="rId24" Type="http://schemas.openxmlformats.org/officeDocument/2006/relationships/hyperlink" Target="https://www.linkedin.com/company/nomaze/" TargetMode="External"/><Relationship Id="rId23" Type="http://schemas.openxmlformats.org/officeDocument/2006/relationships/hyperlink" Target="https://www.linkedin.com/company/drb-marketing-consultoria/" TargetMode="External"/><Relationship Id="rId26" Type="http://schemas.openxmlformats.org/officeDocument/2006/relationships/hyperlink" Target="https://www.youtube.com/@notopogestao" TargetMode="External"/><Relationship Id="rId25" Type="http://schemas.openxmlformats.org/officeDocument/2006/relationships/hyperlink" Target="https://www.youtube.com/user/lepera2007" TargetMode="External"/><Relationship Id="rId28" Type="http://schemas.openxmlformats.org/officeDocument/2006/relationships/hyperlink" Target="https://www.youtube.com/@marketingeestrategia9917" TargetMode="External"/><Relationship Id="rId27" Type="http://schemas.openxmlformats.org/officeDocument/2006/relationships/hyperlink" Target="https://www.youtube.com/@leodamkt" TargetMode="External"/><Relationship Id="rId29" Type="http://schemas.openxmlformats.org/officeDocument/2006/relationships/hyperlink" Target="https://www.youtube.com/@MsFast18" TargetMode="External"/><Relationship Id="rId11" Type="http://schemas.openxmlformats.org/officeDocument/2006/relationships/hyperlink" Target="https://www.facebook.com/NoTopoMarketing" TargetMode="External"/><Relationship Id="rId10" Type="http://schemas.openxmlformats.org/officeDocument/2006/relationships/hyperlink" Target="https://www.facebook.com/leodamkt" TargetMode="External"/><Relationship Id="rId13" Type="http://schemas.openxmlformats.org/officeDocument/2006/relationships/hyperlink" Target="https://www.facebook.com/frederico.burlamaqui" TargetMode="External"/><Relationship Id="rId12" Type="http://schemas.openxmlformats.org/officeDocument/2006/relationships/hyperlink" Target="https://www.facebook.com/lepera.comunicacao/" TargetMode="External"/><Relationship Id="rId15" Type="http://schemas.openxmlformats.org/officeDocument/2006/relationships/hyperlink" Target="https://www.facebook.com/drbmkt" TargetMode="External"/><Relationship Id="rId14" Type="http://schemas.openxmlformats.org/officeDocument/2006/relationships/hyperlink" Target="https://www.facebook.com/handzmarketingoutsourcing" TargetMode="External"/><Relationship Id="rId17" Type="http://schemas.openxmlformats.org/officeDocument/2006/relationships/hyperlink" Target="https://www.linkedin.com/company/handz-marketing/" TargetMode="External"/><Relationship Id="rId16" Type="http://schemas.openxmlformats.org/officeDocument/2006/relationships/hyperlink" Target="https://www.facebook.com/profile.php?id=61556292429115" TargetMode="External"/><Relationship Id="rId19" Type="http://schemas.openxmlformats.org/officeDocument/2006/relationships/hyperlink" Target="https://www.linkedin.com/company/lepera/" TargetMode="External"/><Relationship Id="rId18" Type="http://schemas.openxmlformats.org/officeDocument/2006/relationships/hyperlink" Target="https://www.linkedin.com/company/LEODAmkt/" TargetMode="External"/><Relationship Id="rId1" Type="http://schemas.openxmlformats.org/officeDocument/2006/relationships/hyperlink" Target="https://www.notjustanalytics.com/" TargetMode="External"/><Relationship Id="rId2" Type="http://schemas.openxmlformats.org/officeDocument/2006/relationships/hyperlink" Target="https://www.instagram.com/vamos.nomaze/" TargetMode="External"/><Relationship Id="rId3" Type="http://schemas.openxmlformats.org/officeDocument/2006/relationships/hyperlink" Target="https://www.instagram.com/fredburlamaqui/" TargetMode="External"/><Relationship Id="rId4" Type="http://schemas.openxmlformats.org/officeDocument/2006/relationships/hyperlink" Target="https://www.instagram.com/leodamkt/" TargetMode="External"/><Relationship Id="rId9" Type="http://schemas.openxmlformats.org/officeDocument/2006/relationships/hyperlink" Target="https://www.instagram.com/drbmkt/" TargetMode="External"/><Relationship Id="rId5" Type="http://schemas.openxmlformats.org/officeDocument/2006/relationships/hyperlink" Target="https://www.instagram.com/artesania_marketing/" TargetMode="External"/><Relationship Id="rId6" Type="http://schemas.openxmlformats.org/officeDocument/2006/relationships/hyperlink" Target="https://www.instagram.com/agencia.lepera/" TargetMode="External"/><Relationship Id="rId7" Type="http://schemas.openxmlformats.org/officeDocument/2006/relationships/hyperlink" Target="https://www.instagram.com/notopogestao" TargetMode="External"/><Relationship Id="rId8" Type="http://schemas.openxmlformats.org/officeDocument/2006/relationships/hyperlink" Target="https://www.instagram.com/handzmarketing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leoda.com.br/" TargetMode="External"/><Relationship Id="rId42" Type="http://schemas.openxmlformats.org/officeDocument/2006/relationships/hyperlink" Target="https://maps.app.goo.gl/DmSoh2xGXQAFm4ag6" TargetMode="External"/><Relationship Id="rId41" Type="http://schemas.openxmlformats.org/officeDocument/2006/relationships/hyperlink" Target="https://www.nomaze.com.br/" TargetMode="External"/><Relationship Id="rId44" Type="http://schemas.openxmlformats.org/officeDocument/2006/relationships/hyperlink" Target="https://www.facebook.com/lepera.comunicacao/" TargetMode="External"/><Relationship Id="rId43" Type="http://schemas.openxmlformats.org/officeDocument/2006/relationships/hyperlink" Target="https://www.instagram.com/leodamkt/" TargetMode="External"/><Relationship Id="rId46" Type="http://schemas.openxmlformats.org/officeDocument/2006/relationships/hyperlink" Target="https://www.youtube.com/@leodamkt" TargetMode="External"/><Relationship Id="rId45" Type="http://schemas.openxmlformats.org/officeDocument/2006/relationships/hyperlink" Target="https://www.linkedin.com/company/lepera/" TargetMode="External"/><Relationship Id="rId48" Type="http://schemas.openxmlformats.org/officeDocument/2006/relationships/hyperlink" Target="https://handz.marketing/" TargetMode="External"/><Relationship Id="rId47" Type="http://schemas.openxmlformats.org/officeDocument/2006/relationships/hyperlink" Target="https://marketingestrategia.com.br/" TargetMode="External"/><Relationship Id="rId49" Type="http://schemas.openxmlformats.org/officeDocument/2006/relationships/hyperlink" Target="https://maps.app.goo.gl/gJB9upaEjSUFAUyo6" TargetMode="External"/><Relationship Id="rId103" Type="http://schemas.openxmlformats.org/officeDocument/2006/relationships/drawing" Target="../drawings/drawing4.xml"/><Relationship Id="rId102" Type="http://schemas.openxmlformats.org/officeDocument/2006/relationships/hyperlink" Target="https://www.drb.marketing/" TargetMode="External"/><Relationship Id="rId101" Type="http://schemas.openxmlformats.org/officeDocument/2006/relationships/hyperlink" Target="https://handz.marketing/" TargetMode="External"/><Relationship Id="rId100" Type="http://schemas.openxmlformats.org/officeDocument/2006/relationships/hyperlink" Target="https://notopo.com/" TargetMode="External"/><Relationship Id="rId31" Type="http://schemas.openxmlformats.org/officeDocument/2006/relationships/hyperlink" Target="https://www.linkedin.com/company/handz-marketing/" TargetMode="External"/><Relationship Id="rId30" Type="http://schemas.openxmlformats.org/officeDocument/2006/relationships/hyperlink" Target="https://www.facebook.com/leodamkt" TargetMode="External"/><Relationship Id="rId33" Type="http://schemas.openxmlformats.org/officeDocument/2006/relationships/hyperlink" Target="https://lepera.com.br/" TargetMode="External"/><Relationship Id="rId32" Type="http://schemas.openxmlformats.org/officeDocument/2006/relationships/hyperlink" Target="https://www.youtube.com/user/lepera2007" TargetMode="External"/><Relationship Id="rId35" Type="http://schemas.openxmlformats.org/officeDocument/2006/relationships/hyperlink" Target="https://maps.app.goo.gl/t4JqRScFWgYmqRLj6" TargetMode="External"/><Relationship Id="rId34" Type="http://schemas.openxmlformats.org/officeDocument/2006/relationships/hyperlink" Target="https://marketingestrategia.com.br/" TargetMode="External"/><Relationship Id="rId37" Type="http://schemas.openxmlformats.org/officeDocument/2006/relationships/hyperlink" Target="https://www.facebook.com/NoTopoMarketing" TargetMode="External"/><Relationship Id="rId36" Type="http://schemas.openxmlformats.org/officeDocument/2006/relationships/hyperlink" Target="https://www.instagram.com/fredburlamaqui/" TargetMode="External"/><Relationship Id="rId39" Type="http://schemas.openxmlformats.org/officeDocument/2006/relationships/hyperlink" Target="https://www.youtube.com/@notopogestao" TargetMode="External"/><Relationship Id="rId38" Type="http://schemas.openxmlformats.org/officeDocument/2006/relationships/hyperlink" Target="https://www.linkedin.com/company/LEODAmkt/" TargetMode="External"/><Relationship Id="rId20" Type="http://schemas.openxmlformats.org/officeDocument/2006/relationships/hyperlink" Target="https://maps.app.goo.gl/t4JqRScFWgYmqRLj6" TargetMode="External"/><Relationship Id="rId22" Type="http://schemas.openxmlformats.org/officeDocument/2006/relationships/hyperlink" Target="https://maps.app.goo.gl/gJB9upaEjSUFAUyo6" TargetMode="External"/><Relationship Id="rId21" Type="http://schemas.openxmlformats.org/officeDocument/2006/relationships/hyperlink" Target="https://maps.app.goo.gl/DmSoh2xGXQAFm4ag6" TargetMode="External"/><Relationship Id="rId24" Type="http://schemas.openxmlformats.org/officeDocument/2006/relationships/hyperlink" Target="https://maps.app.goo.gl/nTJGjnLgJaiZ7AzT7" TargetMode="External"/><Relationship Id="rId23" Type="http://schemas.openxmlformats.org/officeDocument/2006/relationships/hyperlink" Target="https://maps.app.goo.gl/kXHCgyC9WDJez8jR8" TargetMode="External"/><Relationship Id="rId26" Type="http://schemas.openxmlformats.org/officeDocument/2006/relationships/hyperlink" Target="https://www.nomaze.com.br/" TargetMode="External"/><Relationship Id="rId25" Type="http://schemas.openxmlformats.org/officeDocument/2006/relationships/hyperlink" Target="https://share.google/ympZh9YOIPcIEPhww" TargetMode="External"/><Relationship Id="rId28" Type="http://schemas.openxmlformats.org/officeDocument/2006/relationships/hyperlink" Target="https://maps.app.goo.gl/wFUp3a81Jj9ihJXn8" TargetMode="External"/><Relationship Id="rId27" Type="http://schemas.openxmlformats.org/officeDocument/2006/relationships/hyperlink" Target="https://artesaniamarketing.com.br/" TargetMode="External"/><Relationship Id="rId29" Type="http://schemas.openxmlformats.org/officeDocument/2006/relationships/hyperlink" Target="https://www.instagram.com/vamos.nomaze/" TargetMode="External"/><Relationship Id="rId95" Type="http://schemas.openxmlformats.org/officeDocument/2006/relationships/hyperlink" Target="https://marketingestrategia.com.br/" TargetMode="External"/><Relationship Id="rId94" Type="http://schemas.openxmlformats.org/officeDocument/2006/relationships/hyperlink" Target="https://marketingestrategia.com.br/" TargetMode="External"/><Relationship Id="rId97" Type="http://schemas.openxmlformats.org/officeDocument/2006/relationships/hyperlink" Target="https://www.nomaze.com.br/" TargetMode="External"/><Relationship Id="rId96" Type="http://schemas.openxmlformats.org/officeDocument/2006/relationships/hyperlink" Target="https://leoda.com.br/" TargetMode="External"/><Relationship Id="rId11" Type="http://schemas.openxmlformats.org/officeDocument/2006/relationships/hyperlink" Target="https://artesaniamarketing.com.br/" TargetMode="External"/><Relationship Id="rId99" Type="http://schemas.openxmlformats.org/officeDocument/2006/relationships/hyperlink" Target="https://artesaniamarketing.com.br/" TargetMode="External"/><Relationship Id="rId10" Type="http://schemas.openxmlformats.org/officeDocument/2006/relationships/hyperlink" Target="https://pagespeed.web.dev/" TargetMode="External"/><Relationship Id="rId98" Type="http://schemas.openxmlformats.org/officeDocument/2006/relationships/hyperlink" Target="https://lepera.com.br/" TargetMode="External"/><Relationship Id="rId13" Type="http://schemas.openxmlformats.org/officeDocument/2006/relationships/hyperlink" Target="https://www.nomaze.com.br/" TargetMode="External"/><Relationship Id="rId12" Type="http://schemas.openxmlformats.org/officeDocument/2006/relationships/hyperlink" Target="https://marketingestrategia.com.br/" TargetMode="External"/><Relationship Id="rId91" Type="http://schemas.openxmlformats.org/officeDocument/2006/relationships/hyperlink" Target="https://artesaniamarketing.com.br/" TargetMode="External"/><Relationship Id="rId90" Type="http://schemas.openxmlformats.org/officeDocument/2006/relationships/hyperlink" Target="https://www.nomaze.com.br/" TargetMode="External"/><Relationship Id="rId93" Type="http://schemas.openxmlformats.org/officeDocument/2006/relationships/hyperlink" Target="https://www.drb.marketing/" TargetMode="External"/><Relationship Id="rId92" Type="http://schemas.openxmlformats.org/officeDocument/2006/relationships/hyperlink" Target="https://handz.marketing/" TargetMode="External"/><Relationship Id="rId15" Type="http://schemas.openxmlformats.org/officeDocument/2006/relationships/hyperlink" Target="https://www.drb.marketing/" TargetMode="External"/><Relationship Id="rId14" Type="http://schemas.openxmlformats.org/officeDocument/2006/relationships/hyperlink" Target="https://handz.marketing/" TargetMode="External"/><Relationship Id="rId17" Type="http://schemas.openxmlformats.org/officeDocument/2006/relationships/hyperlink" Target="https://leoda.com.br/" TargetMode="External"/><Relationship Id="rId16" Type="http://schemas.openxmlformats.org/officeDocument/2006/relationships/hyperlink" Target="https://notopo.com/" TargetMode="External"/><Relationship Id="rId19" Type="http://schemas.openxmlformats.org/officeDocument/2006/relationships/hyperlink" Target="https://maps.app.goo.gl/wFUp3a81Jj9ihJXn8" TargetMode="External"/><Relationship Id="rId18" Type="http://schemas.openxmlformats.org/officeDocument/2006/relationships/hyperlink" Target="https://lepera.com.br/" TargetMode="External"/><Relationship Id="rId84" Type="http://schemas.openxmlformats.org/officeDocument/2006/relationships/hyperlink" Target="https://handz.marketing/" TargetMode="External"/><Relationship Id="rId83" Type="http://schemas.openxmlformats.org/officeDocument/2006/relationships/hyperlink" Target="https://artesaniamarketing.com.br/" TargetMode="External"/><Relationship Id="rId86" Type="http://schemas.openxmlformats.org/officeDocument/2006/relationships/hyperlink" Target="https://leoda.com.br/" TargetMode="External"/><Relationship Id="rId85" Type="http://schemas.openxmlformats.org/officeDocument/2006/relationships/hyperlink" Target="https://www.drb.marketing/" TargetMode="External"/><Relationship Id="rId88" Type="http://schemas.openxmlformats.org/officeDocument/2006/relationships/hyperlink" Target="https://notopo.com/" TargetMode="External"/><Relationship Id="rId87" Type="http://schemas.openxmlformats.org/officeDocument/2006/relationships/hyperlink" Target="https://marketingestrategia.com.br/" TargetMode="External"/><Relationship Id="rId89" Type="http://schemas.openxmlformats.org/officeDocument/2006/relationships/hyperlink" Target="https://lepera.com.br/" TargetMode="External"/><Relationship Id="rId80" Type="http://schemas.openxmlformats.org/officeDocument/2006/relationships/hyperlink" Target="https://notopo.com/" TargetMode="External"/><Relationship Id="rId82" Type="http://schemas.openxmlformats.org/officeDocument/2006/relationships/hyperlink" Target="https://www.nomaze.com.br/" TargetMode="External"/><Relationship Id="rId81" Type="http://schemas.openxmlformats.org/officeDocument/2006/relationships/hyperlink" Target="https://lepera.com.br/" TargetMode="External"/><Relationship Id="rId1" Type="http://schemas.openxmlformats.org/officeDocument/2006/relationships/hyperlink" Target="https://www.woorank.com/pt" TargetMode="External"/><Relationship Id="rId2" Type="http://schemas.openxmlformats.org/officeDocument/2006/relationships/hyperlink" Target="https://www.nomaze.com.br/" TargetMode="External"/><Relationship Id="rId3" Type="http://schemas.openxmlformats.org/officeDocument/2006/relationships/hyperlink" Target="https://lepera.com.br/" TargetMode="External"/><Relationship Id="rId4" Type="http://schemas.openxmlformats.org/officeDocument/2006/relationships/hyperlink" Target="https://leoda.com.br/" TargetMode="External"/><Relationship Id="rId9" Type="http://schemas.openxmlformats.org/officeDocument/2006/relationships/hyperlink" Target="https://www.drb.marketing/" TargetMode="External"/><Relationship Id="rId5" Type="http://schemas.openxmlformats.org/officeDocument/2006/relationships/hyperlink" Target="https://marketingestrategia.com.br/" TargetMode="External"/><Relationship Id="rId6" Type="http://schemas.openxmlformats.org/officeDocument/2006/relationships/hyperlink" Target="https://notopo.com/" TargetMode="External"/><Relationship Id="rId7" Type="http://schemas.openxmlformats.org/officeDocument/2006/relationships/hyperlink" Target="https://handz.marketing/" TargetMode="External"/><Relationship Id="rId8" Type="http://schemas.openxmlformats.org/officeDocument/2006/relationships/hyperlink" Target="https://artesaniamarketing.com.br/" TargetMode="External"/><Relationship Id="rId73" Type="http://schemas.openxmlformats.org/officeDocument/2006/relationships/hyperlink" Target="https://www.linkedin.com/company/drb-marketing-consultoria/" TargetMode="External"/><Relationship Id="rId72" Type="http://schemas.openxmlformats.org/officeDocument/2006/relationships/hyperlink" Target="https://www.facebook.com/profile.php?id=61556292429115" TargetMode="External"/><Relationship Id="rId75" Type="http://schemas.openxmlformats.org/officeDocument/2006/relationships/hyperlink" Target="https://lepera.com.br/" TargetMode="External"/><Relationship Id="rId74" Type="http://schemas.openxmlformats.org/officeDocument/2006/relationships/hyperlink" Target="https://www.drb.marketing/" TargetMode="External"/><Relationship Id="rId77" Type="http://schemas.openxmlformats.org/officeDocument/2006/relationships/hyperlink" Target="https://www.linkedin.com/company/nomaze/" TargetMode="External"/><Relationship Id="rId76" Type="http://schemas.openxmlformats.org/officeDocument/2006/relationships/hyperlink" Target="https://www.instagram.com/drbmkt/" TargetMode="External"/><Relationship Id="rId79" Type="http://schemas.openxmlformats.org/officeDocument/2006/relationships/hyperlink" Target="https://marketingestrategia.com.br/" TargetMode="External"/><Relationship Id="rId78" Type="http://schemas.openxmlformats.org/officeDocument/2006/relationships/hyperlink" Target="https://leoda.com.br/" TargetMode="External"/><Relationship Id="rId71" Type="http://schemas.openxmlformats.org/officeDocument/2006/relationships/hyperlink" Target="https://www.instagram.com/handzmarketing/" TargetMode="External"/><Relationship Id="rId70" Type="http://schemas.openxmlformats.org/officeDocument/2006/relationships/hyperlink" Target="https://share.google/ympZh9YOIPcIEPhww" TargetMode="External"/><Relationship Id="rId62" Type="http://schemas.openxmlformats.org/officeDocument/2006/relationships/hyperlink" Target="https://notopo.com/" TargetMode="External"/><Relationship Id="rId61" Type="http://schemas.openxmlformats.org/officeDocument/2006/relationships/hyperlink" Target="https://handz.marketing/" TargetMode="External"/><Relationship Id="rId64" Type="http://schemas.openxmlformats.org/officeDocument/2006/relationships/hyperlink" Target="https://www.instagram.com/notopogestao" TargetMode="External"/><Relationship Id="rId63" Type="http://schemas.openxmlformats.org/officeDocument/2006/relationships/hyperlink" Target="https://maps.app.goo.gl/nTJGjnLgJaiZ7AzT7" TargetMode="External"/><Relationship Id="rId66" Type="http://schemas.openxmlformats.org/officeDocument/2006/relationships/hyperlink" Target="https://www.linkedin.com/company/marketingestrategia/" TargetMode="External"/><Relationship Id="rId65" Type="http://schemas.openxmlformats.org/officeDocument/2006/relationships/hyperlink" Target="https://www.facebook.com/drbmkt" TargetMode="External"/><Relationship Id="rId68" Type="http://schemas.openxmlformats.org/officeDocument/2006/relationships/hyperlink" Target="https://artesaniamarketing.com.br/" TargetMode="External"/><Relationship Id="rId67" Type="http://schemas.openxmlformats.org/officeDocument/2006/relationships/hyperlink" Target="https://www.youtube.com/@nomaze" TargetMode="External"/><Relationship Id="rId60" Type="http://schemas.openxmlformats.org/officeDocument/2006/relationships/hyperlink" Target="https://www.youtube.com/@dbastreghi" TargetMode="External"/><Relationship Id="rId69" Type="http://schemas.openxmlformats.org/officeDocument/2006/relationships/hyperlink" Target="https://leoda.com.br/" TargetMode="External"/><Relationship Id="rId51" Type="http://schemas.openxmlformats.org/officeDocument/2006/relationships/hyperlink" Target="https://www.facebook.com/frederico.burlamaqui" TargetMode="External"/><Relationship Id="rId50" Type="http://schemas.openxmlformats.org/officeDocument/2006/relationships/hyperlink" Target="https://www.instagram.com/artesania_marketing/" TargetMode="External"/><Relationship Id="rId53" Type="http://schemas.openxmlformats.org/officeDocument/2006/relationships/hyperlink" Target="https://www.youtube.com/@marketingeestrategia9917" TargetMode="External"/><Relationship Id="rId52" Type="http://schemas.openxmlformats.org/officeDocument/2006/relationships/hyperlink" Target="https://www.linkedin.com/company/artesaniamarketing/?viewAsMember=true" TargetMode="External"/><Relationship Id="rId55" Type="http://schemas.openxmlformats.org/officeDocument/2006/relationships/hyperlink" Target="https://www.drb.marketing/" TargetMode="External"/><Relationship Id="rId54" Type="http://schemas.openxmlformats.org/officeDocument/2006/relationships/hyperlink" Target="https://notopo.com/" TargetMode="External"/><Relationship Id="rId57" Type="http://schemas.openxmlformats.org/officeDocument/2006/relationships/hyperlink" Target="https://www.instagram.com/agencia.lepera/" TargetMode="External"/><Relationship Id="rId56" Type="http://schemas.openxmlformats.org/officeDocument/2006/relationships/hyperlink" Target="https://maps.app.goo.gl/kXHCgyC9WDJez8jR8" TargetMode="External"/><Relationship Id="rId59" Type="http://schemas.openxmlformats.org/officeDocument/2006/relationships/hyperlink" Target="https://www.linkedin.com/company/notopogestao/" TargetMode="External"/><Relationship Id="rId58" Type="http://schemas.openxmlformats.org/officeDocument/2006/relationships/hyperlink" Target="https://www.facebook.com/handzmarketingoutsourcing" TargetMode="Externa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youtube.com/@mecan_oficial" TargetMode="External"/><Relationship Id="rId30" Type="http://schemas.openxmlformats.org/officeDocument/2006/relationships/hyperlink" Target="https://www.youtube.com/@dbastreghi" TargetMode="External"/><Relationship Id="rId33" Type="http://schemas.openxmlformats.org/officeDocument/2006/relationships/drawing" Target="../drawings/drawing5.xml"/><Relationship Id="rId32" Type="http://schemas.openxmlformats.org/officeDocument/2006/relationships/hyperlink" Target="https://www.youtube.com/@nomaze" TargetMode="External"/><Relationship Id="rId20" Type="http://schemas.openxmlformats.org/officeDocument/2006/relationships/hyperlink" Target="https://www.linkedin.com/company/lepera/" TargetMode="External"/><Relationship Id="rId22" Type="http://schemas.openxmlformats.org/officeDocument/2006/relationships/hyperlink" Target="https://www.linkedin.com/company/marketingestrategia/" TargetMode="External"/><Relationship Id="rId21" Type="http://schemas.openxmlformats.org/officeDocument/2006/relationships/hyperlink" Target="https://www.linkedin.com/company/notopogestao/" TargetMode="External"/><Relationship Id="rId24" Type="http://schemas.openxmlformats.org/officeDocument/2006/relationships/hyperlink" Target="https://www.linkedin.com/company/nomaze/" TargetMode="External"/><Relationship Id="rId23" Type="http://schemas.openxmlformats.org/officeDocument/2006/relationships/hyperlink" Target="https://www.linkedin.com/company/drb-marketing-consultoria/" TargetMode="External"/><Relationship Id="rId26" Type="http://schemas.openxmlformats.org/officeDocument/2006/relationships/hyperlink" Target="https://www.youtube.com/@notopogestao" TargetMode="External"/><Relationship Id="rId25" Type="http://schemas.openxmlformats.org/officeDocument/2006/relationships/hyperlink" Target="https://www.youtube.com/@leodamkt" TargetMode="External"/><Relationship Id="rId28" Type="http://schemas.openxmlformats.org/officeDocument/2006/relationships/hyperlink" Target="https://www.youtube.com/@marketingeestrategia9917" TargetMode="External"/><Relationship Id="rId27" Type="http://schemas.openxmlformats.org/officeDocument/2006/relationships/hyperlink" Target="https://www.youtube.com/user/lepera2007" TargetMode="External"/><Relationship Id="rId29" Type="http://schemas.openxmlformats.org/officeDocument/2006/relationships/hyperlink" Target="https://www.youtube.com/@MsFast18" TargetMode="External"/><Relationship Id="rId11" Type="http://schemas.openxmlformats.org/officeDocument/2006/relationships/hyperlink" Target="https://www.facebook.com/NoTopoMarketing" TargetMode="External"/><Relationship Id="rId10" Type="http://schemas.openxmlformats.org/officeDocument/2006/relationships/hyperlink" Target="https://www.facebook.com/leodamkt" TargetMode="External"/><Relationship Id="rId13" Type="http://schemas.openxmlformats.org/officeDocument/2006/relationships/hyperlink" Target="https://www.facebook.com/frederico.burlamaqui" TargetMode="External"/><Relationship Id="rId12" Type="http://schemas.openxmlformats.org/officeDocument/2006/relationships/hyperlink" Target="https://www.facebook.com/lepera.comunicacao/" TargetMode="External"/><Relationship Id="rId15" Type="http://schemas.openxmlformats.org/officeDocument/2006/relationships/hyperlink" Target="https://www.facebook.com/drbmkt" TargetMode="External"/><Relationship Id="rId14" Type="http://schemas.openxmlformats.org/officeDocument/2006/relationships/hyperlink" Target="https://www.facebook.com/handzmarketingoutsourcing" TargetMode="External"/><Relationship Id="rId17" Type="http://schemas.openxmlformats.org/officeDocument/2006/relationships/hyperlink" Target="https://www.linkedin.com/company/artesaniamarketing/?viewAsMember=true" TargetMode="External"/><Relationship Id="rId16" Type="http://schemas.openxmlformats.org/officeDocument/2006/relationships/hyperlink" Target="https://www.facebook.com/profile.php?id=61556292429115" TargetMode="External"/><Relationship Id="rId19" Type="http://schemas.openxmlformats.org/officeDocument/2006/relationships/hyperlink" Target="https://www.linkedin.com/company/handz-marketing/" TargetMode="External"/><Relationship Id="rId18" Type="http://schemas.openxmlformats.org/officeDocument/2006/relationships/hyperlink" Target="https://www.linkedin.com/company/LEODAmkt/" TargetMode="External"/><Relationship Id="rId1" Type="http://schemas.openxmlformats.org/officeDocument/2006/relationships/hyperlink" Target="https://www.notjustanalytics.com/" TargetMode="External"/><Relationship Id="rId2" Type="http://schemas.openxmlformats.org/officeDocument/2006/relationships/hyperlink" Target="https://www.instagram.com/fredburlamaqui/" TargetMode="External"/><Relationship Id="rId3" Type="http://schemas.openxmlformats.org/officeDocument/2006/relationships/hyperlink" Target="https://www.instagram.com/vamos.nomaze/" TargetMode="External"/><Relationship Id="rId4" Type="http://schemas.openxmlformats.org/officeDocument/2006/relationships/hyperlink" Target="https://www.instagram.com/artesania_marketing/" TargetMode="External"/><Relationship Id="rId9" Type="http://schemas.openxmlformats.org/officeDocument/2006/relationships/hyperlink" Target="https://www.instagram.com/drbmkt/" TargetMode="External"/><Relationship Id="rId5" Type="http://schemas.openxmlformats.org/officeDocument/2006/relationships/hyperlink" Target="https://www.instagram.com/leodamkt/" TargetMode="External"/><Relationship Id="rId6" Type="http://schemas.openxmlformats.org/officeDocument/2006/relationships/hyperlink" Target="https://www.instagram.com/agencia.lepera/" TargetMode="External"/><Relationship Id="rId7" Type="http://schemas.openxmlformats.org/officeDocument/2006/relationships/hyperlink" Target="https://www.instagram.com/notopogestao" TargetMode="External"/><Relationship Id="rId8" Type="http://schemas.openxmlformats.org/officeDocument/2006/relationships/hyperlink" Target="https://www.instagram.com/handzmarketing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marketingestrategia.com.br/" TargetMode="External"/><Relationship Id="rId42" Type="http://schemas.openxmlformats.org/officeDocument/2006/relationships/hyperlink" Target="https://maps.app.goo.gl/DmSoh2xGXQAFm4ag6" TargetMode="External"/><Relationship Id="rId41" Type="http://schemas.openxmlformats.org/officeDocument/2006/relationships/hyperlink" Target="https://artesaniamarketing.com.br/" TargetMode="External"/><Relationship Id="rId44" Type="http://schemas.openxmlformats.org/officeDocument/2006/relationships/hyperlink" Target="https://www.facebook.com/lepera.comunicacao/" TargetMode="External"/><Relationship Id="rId43" Type="http://schemas.openxmlformats.org/officeDocument/2006/relationships/hyperlink" Target="https://www.instagram.com/artesania_marketing/" TargetMode="External"/><Relationship Id="rId46" Type="http://schemas.openxmlformats.org/officeDocument/2006/relationships/hyperlink" Target="https://www.youtube.com/user/lepera2007" TargetMode="External"/><Relationship Id="rId45" Type="http://schemas.openxmlformats.org/officeDocument/2006/relationships/hyperlink" Target="https://www.linkedin.com/company/handz-marketing/" TargetMode="External"/><Relationship Id="rId48" Type="http://schemas.openxmlformats.org/officeDocument/2006/relationships/hyperlink" Target="https://marketingestrategia.com.br/" TargetMode="External"/><Relationship Id="rId47" Type="http://schemas.openxmlformats.org/officeDocument/2006/relationships/hyperlink" Target="https://notopo.com/" TargetMode="External"/><Relationship Id="rId49" Type="http://schemas.openxmlformats.org/officeDocument/2006/relationships/hyperlink" Target="https://maps.app.goo.gl/gJB9upaEjSUFAUyo6" TargetMode="External"/><Relationship Id="rId103" Type="http://schemas.openxmlformats.org/officeDocument/2006/relationships/drawing" Target="../drawings/drawing6.xml"/><Relationship Id="rId102" Type="http://schemas.openxmlformats.org/officeDocument/2006/relationships/hyperlink" Target="https://www.drb.marketing/" TargetMode="External"/><Relationship Id="rId101" Type="http://schemas.openxmlformats.org/officeDocument/2006/relationships/hyperlink" Target="https://lepera.com.br/" TargetMode="External"/><Relationship Id="rId100" Type="http://schemas.openxmlformats.org/officeDocument/2006/relationships/hyperlink" Target="https://handz.marketing/" TargetMode="External"/><Relationship Id="rId31" Type="http://schemas.openxmlformats.org/officeDocument/2006/relationships/hyperlink" Target="https://www.linkedin.com/company/artesaniamarketing/?viewAsMember=true" TargetMode="External"/><Relationship Id="rId30" Type="http://schemas.openxmlformats.org/officeDocument/2006/relationships/hyperlink" Target="https://www.facebook.com/leodamkt" TargetMode="External"/><Relationship Id="rId33" Type="http://schemas.openxmlformats.org/officeDocument/2006/relationships/hyperlink" Target="https://lepera.com.br/" TargetMode="External"/><Relationship Id="rId32" Type="http://schemas.openxmlformats.org/officeDocument/2006/relationships/hyperlink" Target="https://www.youtube.com/@leodamkt" TargetMode="External"/><Relationship Id="rId35" Type="http://schemas.openxmlformats.org/officeDocument/2006/relationships/hyperlink" Target="https://maps.app.goo.gl/t4JqRScFWgYmqRLj6" TargetMode="External"/><Relationship Id="rId34" Type="http://schemas.openxmlformats.org/officeDocument/2006/relationships/hyperlink" Target="https://www.nomaze.com.br/" TargetMode="External"/><Relationship Id="rId37" Type="http://schemas.openxmlformats.org/officeDocument/2006/relationships/hyperlink" Target="https://www.facebook.com/NoTopoMarketing" TargetMode="External"/><Relationship Id="rId36" Type="http://schemas.openxmlformats.org/officeDocument/2006/relationships/hyperlink" Target="https://www.instagram.com/vamos.nomaze/" TargetMode="External"/><Relationship Id="rId39" Type="http://schemas.openxmlformats.org/officeDocument/2006/relationships/hyperlink" Target="https://www.youtube.com/@notopogestao" TargetMode="External"/><Relationship Id="rId38" Type="http://schemas.openxmlformats.org/officeDocument/2006/relationships/hyperlink" Target="https://www.linkedin.com/company/LEODAmkt/" TargetMode="External"/><Relationship Id="rId20" Type="http://schemas.openxmlformats.org/officeDocument/2006/relationships/hyperlink" Target="https://maps.app.goo.gl/t4JqRScFWgYmqRLj6" TargetMode="External"/><Relationship Id="rId22" Type="http://schemas.openxmlformats.org/officeDocument/2006/relationships/hyperlink" Target="https://maps.app.goo.gl/gJB9upaEjSUFAUyo6" TargetMode="External"/><Relationship Id="rId21" Type="http://schemas.openxmlformats.org/officeDocument/2006/relationships/hyperlink" Target="https://maps.app.goo.gl/DmSoh2xGXQAFm4ag6" TargetMode="External"/><Relationship Id="rId24" Type="http://schemas.openxmlformats.org/officeDocument/2006/relationships/hyperlink" Target="https://maps.app.goo.gl/nTJGjnLgJaiZ7AzT7" TargetMode="External"/><Relationship Id="rId23" Type="http://schemas.openxmlformats.org/officeDocument/2006/relationships/hyperlink" Target="https://maps.app.goo.gl/kXHCgyC9WDJez8jR8" TargetMode="External"/><Relationship Id="rId26" Type="http://schemas.openxmlformats.org/officeDocument/2006/relationships/hyperlink" Target="https://www.nomaze.com.br/" TargetMode="External"/><Relationship Id="rId25" Type="http://schemas.openxmlformats.org/officeDocument/2006/relationships/hyperlink" Target="https://share.google/ympZh9YOIPcIEPhww" TargetMode="External"/><Relationship Id="rId28" Type="http://schemas.openxmlformats.org/officeDocument/2006/relationships/hyperlink" Target="https://maps.app.goo.gl/wFUp3a81Jj9ihJXn8" TargetMode="External"/><Relationship Id="rId27" Type="http://schemas.openxmlformats.org/officeDocument/2006/relationships/hyperlink" Target="https://handz.marketing/" TargetMode="External"/><Relationship Id="rId29" Type="http://schemas.openxmlformats.org/officeDocument/2006/relationships/hyperlink" Target="https://www.instagram.com/fredburlamaqui/" TargetMode="External"/><Relationship Id="rId95" Type="http://schemas.openxmlformats.org/officeDocument/2006/relationships/hyperlink" Target="https://marketingestrategia.com.br/" TargetMode="External"/><Relationship Id="rId94" Type="http://schemas.openxmlformats.org/officeDocument/2006/relationships/hyperlink" Target="https://marketingestrategia.com.br/" TargetMode="External"/><Relationship Id="rId97" Type="http://schemas.openxmlformats.org/officeDocument/2006/relationships/hyperlink" Target="https://leoda.com.br/" TargetMode="External"/><Relationship Id="rId96" Type="http://schemas.openxmlformats.org/officeDocument/2006/relationships/hyperlink" Target="https://www.nomaze.com.br/" TargetMode="External"/><Relationship Id="rId11" Type="http://schemas.openxmlformats.org/officeDocument/2006/relationships/hyperlink" Target="https://handz.marketing/" TargetMode="External"/><Relationship Id="rId99" Type="http://schemas.openxmlformats.org/officeDocument/2006/relationships/hyperlink" Target="https://artesaniamarketing.com.br/" TargetMode="External"/><Relationship Id="rId10" Type="http://schemas.openxmlformats.org/officeDocument/2006/relationships/hyperlink" Target="https://pagespeed.web.dev/" TargetMode="External"/><Relationship Id="rId98" Type="http://schemas.openxmlformats.org/officeDocument/2006/relationships/hyperlink" Target="https://notopo.com/" TargetMode="External"/><Relationship Id="rId13" Type="http://schemas.openxmlformats.org/officeDocument/2006/relationships/hyperlink" Target="https://artesaniamarketing.com.br/" TargetMode="External"/><Relationship Id="rId12" Type="http://schemas.openxmlformats.org/officeDocument/2006/relationships/hyperlink" Target="https://www.nomaze.com.br/" TargetMode="External"/><Relationship Id="rId91" Type="http://schemas.openxmlformats.org/officeDocument/2006/relationships/hyperlink" Target="https://artesaniamarketing.com.br/" TargetMode="External"/><Relationship Id="rId90" Type="http://schemas.openxmlformats.org/officeDocument/2006/relationships/hyperlink" Target="https://www.nomaze.com.br/" TargetMode="External"/><Relationship Id="rId93" Type="http://schemas.openxmlformats.org/officeDocument/2006/relationships/hyperlink" Target="https://www.drb.marketing/" TargetMode="External"/><Relationship Id="rId92" Type="http://schemas.openxmlformats.org/officeDocument/2006/relationships/hyperlink" Target="https://handz.marketing/" TargetMode="External"/><Relationship Id="rId15" Type="http://schemas.openxmlformats.org/officeDocument/2006/relationships/hyperlink" Target="https://notopo.com/" TargetMode="External"/><Relationship Id="rId14" Type="http://schemas.openxmlformats.org/officeDocument/2006/relationships/hyperlink" Target="https://marketingestrategia.com.br/" TargetMode="External"/><Relationship Id="rId17" Type="http://schemas.openxmlformats.org/officeDocument/2006/relationships/hyperlink" Target="https://www.drb.marketing/" TargetMode="External"/><Relationship Id="rId16" Type="http://schemas.openxmlformats.org/officeDocument/2006/relationships/hyperlink" Target="https://leoda.com.br/" TargetMode="External"/><Relationship Id="rId19" Type="http://schemas.openxmlformats.org/officeDocument/2006/relationships/hyperlink" Target="https://maps.app.goo.gl/wFUp3a81Jj9ihJXn8" TargetMode="External"/><Relationship Id="rId18" Type="http://schemas.openxmlformats.org/officeDocument/2006/relationships/hyperlink" Target="https://lepera.com.br/" TargetMode="External"/><Relationship Id="rId84" Type="http://schemas.openxmlformats.org/officeDocument/2006/relationships/hyperlink" Target="https://handz.marketing/" TargetMode="External"/><Relationship Id="rId83" Type="http://schemas.openxmlformats.org/officeDocument/2006/relationships/hyperlink" Target="https://artesaniamarketing.com.br/" TargetMode="External"/><Relationship Id="rId86" Type="http://schemas.openxmlformats.org/officeDocument/2006/relationships/hyperlink" Target="https://leoda.com.br/" TargetMode="External"/><Relationship Id="rId85" Type="http://schemas.openxmlformats.org/officeDocument/2006/relationships/hyperlink" Target="https://www.drb.marketing/" TargetMode="External"/><Relationship Id="rId88" Type="http://schemas.openxmlformats.org/officeDocument/2006/relationships/hyperlink" Target="https://notopo.com/" TargetMode="External"/><Relationship Id="rId87" Type="http://schemas.openxmlformats.org/officeDocument/2006/relationships/hyperlink" Target="https://marketingestrategia.com.br/" TargetMode="External"/><Relationship Id="rId89" Type="http://schemas.openxmlformats.org/officeDocument/2006/relationships/hyperlink" Target="https://lepera.com.br/" TargetMode="External"/><Relationship Id="rId80" Type="http://schemas.openxmlformats.org/officeDocument/2006/relationships/hyperlink" Target="https://notopo.com/" TargetMode="External"/><Relationship Id="rId82" Type="http://schemas.openxmlformats.org/officeDocument/2006/relationships/hyperlink" Target="https://www.nomaze.com.br/" TargetMode="External"/><Relationship Id="rId81" Type="http://schemas.openxmlformats.org/officeDocument/2006/relationships/hyperlink" Target="https://lepera.com.br/" TargetMode="External"/><Relationship Id="rId1" Type="http://schemas.openxmlformats.org/officeDocument/2006/relationships/hyperlink" Target="https://www.woorank.com/pt" TargetMode="External"/><Relationship Id="rId2" Type="http://schemas.openxmlformats.org/officeDocument/2006/relationships/hyperlink" Target="https://www.nomaze.com.br/" TargetMode="External"/><Relationship Id="rId3" Type="http://schemas.openxmlformats.org/officeDocument/2006/relationships/hyperlink" Target="https://lepera.com.br/" TargetMode="External"/><Relationship Id="rId4" Type="http://schemas.openxmlformats.org/officeDocument/2006/relationships/hyperlink" Target="https://marketingestrategia.com.br/" TargetMode="External"/><Relationship Id="rId9" Type="http://schemas.openxmlformats.org/officeDocument/2006/relationships/hyperlink" Target="https://www.drb.marketing/" TargetMode="External"/><Relationship Id="rId5" Type="http://schemas.openxmlformats.org/officeDocument/2006/relationships/hyperlink" Target="https://notopo.com/" TargetMode="External"/><Relationship Id="rId6" Type="http://schemas.openxmlformats.org/officeDocument/2006/relationships/hyperlink" Target="https://handz.marketing/" TargetMode="External"/><Relationship Id="rId7" Type="http://schemas.openxmlformats.org/officeDocument/2006/relationships/hyperlink" Target="https://leoda.com.br/" TargetMode="External"/><Relationship Id="rId8" Type="http://schemas.openxmlformats.org/officeDocument/2006/relationships/hyperlink" Target="https://artesaniamarketing.com.br/" TargetMode="External"/><Relationship Id="rId73" Type="http://schemas.openxmlformats.org/officeDocument/2006/relationships/hyperlink" Target="https://www.linkedin.com/company/drb-marketing-consultoria/" TargetMode="External"/><Relationship Id="rId72" Type="http://schemas.openxmlformats.org/officeDocument/2006/relationships/hyperlink" Target="https://www.facebook.com/profile.php?id=61556292429115" TargetMode="External"/><Relationship Id="rId75" Type="http://schemas.openxmlformats.org/officeDocument/2006/relationships/hyperlink" Target="https://lepera.com.br/" TargetMode="External"/><Relationship Id="rId74" Type="http://schemas.openxmlformats.org/officeDocument/2006/relationships/hyperlink" Target="https://www.drb.marketing/" TargetMode="External"/><Relationship Id="rId77" Type="http://schemas.openxmlformats.org/officeDocument/2006/relationships/hyperlink" Target="https://www.linkedin.com/company/nomaze/" TargetMode="External"/><Relationship Id="rId76" Type="http://schemas.openxmlformats.org/officeDocument/2006/relationships/hyperlink" Target="https://www.instagram.com/drbmkt/" TargetMode="External"/><Relationship Id="rId79" Type="http://schemas.openxmlformats.org/officeDocument/2006/relationships/hyperlink" Target="https://marketingestrategia.com.br/" TargetMode="External"/><Relationship Id="rId78" Type="http://schemas.openxmlformats.org/officeDocument/2006/relationships/hyperlink" Target="https://leoda.com.br/" TargetMode="External"/><Relationship Id="rId71" Type="http://schemas.openxmlformats.org/officeDocument/2006/relationships/hyperlink" Target="https://www.instagram.com/handzmarketing/" TargetMode="External"/><Relationship Id="rId70" Type="http://schemas.openxmlformats.org/officeDocument/2006/relationships/hyperlink" Target="https://share.google/ympZh9YOIPcIEPhww" TargetMode="External"/><Relationship Id="rId62" Type="http://schemas.openxmlformats.org/officeDocument/2006/relationships/hyperlink" Target="https://leoda.com.br/" TargetMode="External"/><Relationship Id="rId61" Type="http://schemas.openxmlformats.org/officeDocument/2006/relationships/hyperlink" Target="https://leoda.com.br/" TargetMode="External"/><Relationship Id="rId64" Type="http://schemas.openxmlformats.org/officeDocument/2006/relationships/hyperlink" Target="https://www.instagram.com/notopogestao" TargetMode="External"/><Relationship Id="rId63" Type="http://schemas.openxmlformats.org/officeDocument/2006/relationships/hyperlink" Target="https://maps.app.goo.gl/nTJGjnLgJaiZ7AzT7" TargetMode="External"/><Relationship Id="rId66" Type="http://schemas.openxmlformats.org/officeDocument/2006/relationships/hyperlink" Target="https://www.linkedin.com/company/marketingestrategia/" TargetMode="External"/><Relationship Id="rId65" Type="http://schemas.openxmlformats.org/officeDocument/2006/relationships/hyperlink" Target="https://www.facebook.com/drbmkt" TargetMode="External"/><Relationship Id="rId68" Type="http://schemas.openxmlformats.org/officeDocument/2006/relationships/hyperlink" Target="https://artesaniamarketing.com.br/" TargetMode="External"/><Relationship Id="rId67" Type="http://schemas.openxmlformats.org/officeDocument/2006/relationships/hyperlink" Target="https://www.youtube.com/@nomaze" TargetMode="External"/><Relationship Id="rId60" Type="http://schemas.openxmlformats.org/officeDocument/2006/relationships/hyperlink" Target="https://www.youtube.com/@dbastreghi" TargetMode="External"/><Relationship Id="rId69" Type="http://schemas.openxmlformats.org/officeDocument/2006/relationships/hyperlink" Target="https://www.drb.marketing/" TargetMode="External"/><Relationship Id="rId51" Type="http://schemas.openxmlformats.org/officeDocument/2006/relationships/hyperlink" Target="https://www.facebook.com/frederico.burlamaqui" TargetMode="External"/><Relationship Id="rId50" Type="http://schemas.openxmlformats.org/officeDocument/2006/relationships/hyperlink" Target="https://www.instagram.com/leodamkt/" TargetMode="External"/><Relationship Id="rId53" Type="http://schemas.openxmlformats.org/officeDocument/2006/relationships/hyperlink" Target="https://www.youtube.com/@marketingeestrategia9917" TargetMode="External"/><Relationship Id="rId52" Type="http://schemas.openxmlformats.org/officeDocument/2006/relationships/hyperlink" Target="https://www.linkedin.com/company/lepera/" TargetMode="External"/><Relationship Id="rId55" Type="http://schemas.openxmlformats.org/officeDocument/2006/relationships/hyperlink" Target="https://notopo.com/" TargetMode="External"/><Relationship Id="rId54" Type="http://schemas.openxmlformats.org/officeDocument/2006/relationships/hyperlink" Target="https://handz.marketing/" TargetMode="External"/><Relationship Id="rId57" Type="http://schemas.openxmlformats.org/officeDocument/2006/relationships/hyperlink" Target="https://www.instagram.com/agencia.lepera/" TargetMode="External"/><Relationship Id="rId56" Type="http://schemas.openxmlformats.org/officeDocument/2006/relationships/hyperlink" Target="https://maps.app.goo.gl/kXHCgyC9WDJez8jR8" TargetMode="External"/><Relationship Id="rId59" Type="http://schemas.openxmlformats.org/officeDocument/2006/relationships/hyperlink" Target="https://www.linkedin.com/company/notopogestao/" TargetMode="External"/><Relationship Id="rId58" Type="http://schemas.openxmlformats.org/officeDocument/2006/relationships/hyperlink" Target="https://www.facebook.com/handzmarketingoutsour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56"/>
    <col customWidth="1" min="2" max="2" width="18.22"/>
    <col customWidth="1" min="3" max="3" width="9.44"/>
    <col customWidth="1" min="4" max="5" width="10.67"/>
    <col customWidth="1" min="6" max="6" width="6.22"/>
    <col customWidth="1" min="9" max="9" width="6.89"/>
  </cols>
  <sheetData>
    <row r="1" ht="9.0" customHeight="1">
      <c r="B1" s="1"/>
      <c r="C1" s="2"/>
      <c r="D1" s="2"/>
      <c r="E1" s="2"/>
      <c r="F1" s="1"/>
      <c r="G1" s="1"/>
      <c r="H1" s="1"/>
      <c r="I1" s="1"/>
    </row>
    <row r="2" ht="15.75" customHeight="1">
      <c r="B2" s="3" t="s">
        <v>0</v>
      </c>
      <c r="C2" s="2"/>
      <c r="D2" s="2"/>
      <c r="E2" s="2"/>
      <c r="F2" s="1"/>
      <c r="G2" s="1"/>
      <c r="H2" s="1"/>
      <c r="I2" s="1"/>
    </row>
    <row r="3" ht="15.75" customHeight="1">
      <c r="A3" s="4"/>
      <c r="B3" s="5" t="s">
        <v>1</v>
      </c>
      <c r="C3" s="6" t="s">
        <v>2</v>
      </c>
      <c r="D3" s="7"/>
      <c r="E3" s="7"/>
      <c r="F3" s="7"/>
      <c r="G3" s="7"/>
      <c r="H3" s="7"/>
      <c r="I3" s="7"/>
    </row>
    <row r="4" ht="15.75" customHeight="1">
      <c r="A4" s="8"/>
      <c r="B4" s="9" t="s">
        <v>3</v>
      </c>
      <c r="C4" s="10">
        <v>43.0</v>
      </c>
      <c r="D4" s="1"/>
      <c r="E4" s="1"/>
      <c r="F4" s="1"/>
      <c r="G4" s="1"/>
      <c r="H4" s="1"/>
      <c r="I4" s="1"/>
    </row>
    <row r="5" ht="15.75" customHeight="1">
      <c r="A5" s="8"/>
      <c r="B5" s="11" t="s">
        <v>4</v>
      </c>
      <c r="C5" s="10">
        <v>22.0</v>
      </c>
      <c r="D5" s="1"/>
      <c r="E5" s="1"/>
      <c r="F5" s="1"/>
      <c r="G5" s="1"/>
      <c r="H5" s="1"/>
      <c r="I5" s="1"/>
    </row>
    <row r="6" ht="15.75" customHeight="1">
      <c r="A6" s="8"/>
      <c r="B6" s="9" t="s">
        <v>5</v>
      </c>
      <c r="C6" s="10">
        <v>19.0</v>
      </c>
      <c r="D6" s="1"/>
      <c r="E6" s="1"/>
      <c r="F6" s="1"/>
      <c r="G6" s="1"/>
      <c r="H6" s="1"/>
      <c r="I6" s="1"/>
    </row>
    <row r="7" ht="15.75" customHeight="1">
      <c r="A7" s="8"/>
      <c r="B7" s="9" t="s">
        <v>6</v>
      </c>
      <c r="C7" s="10">
        <v>12.0</v>
      </c>
      <c r="D7" s="1"/>
      <c r="E7" s="1"/>
      <c r="F7" s="1"/>
      <c r="G7" s="1"/>
      <c r="H7" s="1"/>
      <c r="I7" s="1"/>
    </row>
    <row r="8" ht="15.75" customHeight="1">
      <c r="A8" s="8"/>
      <c r="B8" s="9" t="s">
        <v>7</v>
      </c>
      <c r="C8" s="10">
        <v>8.0</v>
      </c>
      <c r="D8" s="1"/>
      <c r="E8" s="1"/>
      <c r="F8" s="1"/>
      <c r="G8" s="1"/>
      <c r="H8" s="1"/>
      <c r="I8" s="1"/>
    </row>
    <row r="9" ht="15.75" customHeight="1">
      <c r="A9" s="8"/>
      <c r="B9" s="9" t="s">
        <v>8</v>
      </c>
      <c r="C9" s="10">
        <v>7.0</v>
      </c>
      <c r="D9" s="1"/>
      <c r="E9" s="1"/>
      <c r="F9" s="1"/>
      <c r="G9" s="1"/>
      <c r="H9" s="1"/>
      <c r="I9" s="1"/>
    </row>
    <row r="10" ht="15.75" customHeight="1">
      <c r="A10" s="8"/>
      <c r="B10" s="9" t="s">
        <v>9</v>
      </c>
      <c r="C10" s="10">
        <v>4.0</v>
      </c>
      <c r="D10" s="1"/>
      <c r="E10" s="1"/>
      <c r="F10" s="1"/>
      <c r="G10" s="1"/>
      <c r="H10" s="1"/>
      <c r="I10" s="1"/>
    </row>
    <row r="11" ht="15.75" customHeight="1">
      <c r="A11" s="8"/>
      <c r="B11" s="9" t="s">
        <v>10</v>
      </c>
      <c r="C11" s="10">
        <v>0.0</v>
      </c>
      <c r="D11" s="1"/>
      <c r="E11" s="1"/>
      <c r="F11" s="1"/>
      <c r="G11" s="1"/>
      <c r="H11" s="1"/>
      <c r="I11" s="1"/>
    </row>
    <row r="12" ht="15.75" customHeight="1">
      <c r="A12" s="8"/>
      <c r="B12" s="1"/>
      <c r="C12" s="1"/>
      <c r="D12" s="1"/>
      <c r="E12" s="1"/>
      <c r="F12" s="1"/>
      <c r="G12" s="1"/>
      <c r="H12" s="1"/>
      <c r="I12" s="1"/>
    </row>
    <row r="13" ht="15.75" customHeight="1">
      <c r="A13" s="8"/>
      <c r="B13" s="12" t="s">
        <v>11</v>
      </c>
      <c r="C13" s="1"/>
      <c r="D13" s="1"/>
      <c r="E13" s="1"/>
      <c r="F13" s="1"/>
      <c r="G13" s="1"/>
      <c r="H13" s="1"/>
      <c r="I13" s="1"/>
    </row>
    <row r="14" ht="15.75" customHeight="1">
      <c r="B14" s="5" t="s">
        <v>1</v>
      </c>
      <c r="C14" s="6" t="s">
        <v>12</v>
      </c>
      <c r="D14" s="1"/>
      <c r="E14" s="1"/>
      <c r="F14" s="1"/>
      <c r="G14" s="1"/>
      <c r="H14" s="1"/>
      <c r="I14" s="1"/>
    </row>
    <row r="15" ht="15.75" customHeight="1">
      <c r="A15" s="13">
        <v>7.0</v>
      </c>
      <c r="B15" s="9" t="s">
        <v>13</v>
      </c>
      <c r="C15" s="14">
        <v>13811.0</v>
      </c>
      <c r="D15" s="1"/>
      <c r="E15" s="1"/>
      <c r="F15" s="1"/>
      <c r="G15" s="1"/>
      <c r="H15" s="1"/>
      <c r="I15" s="1"/>
    </row>
    <row r="16" ht="15.75" customHeight="1">
      <c r="A16" s="13"/>
      <c r="B16" s="11" t="s">
        <v>8</v>
      </c>
      <c r="C16" s="14">
        <v>4404.0</v>
      </c>
      <c r="D16" s="2"/>
      <c r="E16" s="2"/>
      <c r="F16" s="1"/>
      <c r="G16" s="1"/>
      <c r="H16" s="1"/>
      <c r="I16" s="1"/>
    </row>
    <row r="17" ht="15.75" customHeight="1">
      <c r="A17" s="13">
        <v>7.0</v>
      </c>
      <c r="B17" s="11" t="s">
        <v>7</v>
      </c>
      <c r="C17" s="14">
        <v>4157.0</v>
      </c>
      <c r="D17" s="1"/>
      <c r="E17" s="1"/>
      <c r="F17" s="1"/>
      <c r="G17" s="1"/>
      <c r="H17" s="1"/>
      <c r="I17" s="1"/>
    </row>
    <row r="18" ht="15.75" customHeight="1">
      <c r="A18" s="13">
        <v>7.0</v>
      </c>
      <c r="B18" s="11" t="s">
        <v>4</v>
      </c>
      <c r="C18" s="14">
        <v>756.0</v>
      </c>
      <c r="D18" s="1"/>
      <c r="E18" s="1"/>
      <c r="F18" s="1"/>
      <c r="G18" s="1"/>
      <c r="H18" s="1"/>
      <c r="I18" s="1"/>
    </row>
    <row r="19" ht="15.75" customHeight="1">
      <c r="A19" s="13"/>
      <c r="B19" s="11" t="s">
        <v>9</v>
      </c>
      <c r="C19" s="14">
        <v>503.0</v>
      </c>
      <c r="D19" s="2"/>
      <c r="E19" s="2"/>
      <c r="F19" s="1"/>
      <c r="G19" s="1"/>
      <c r="H19" s="1"/>
      <c r="I19" s="1"/>
    </row>
    <row r="20" ht="15.75" customHeight="1">
      <c r="A20" s="13"/>
      <c r="B20" s="11" t="s">
        <v>10</v>
      </c>
      <c r="C20" s="14">
        <v>39.0</v>
      </c>
      <c r="D20" s="2"/>
      <c r="E20" s="2"/>
      <c r="F20" s="1"/>
      <c r="G20" s="1"/>
      <c r="H20" s="1"/>
      <c r="I20" s="1"/>
    </row>
    <row r="21" ht="15.75" customHeight="1">
      <c r="A21" s="13">
        <v>7.0</v>
      </c>
      <c r="B21" s="11" t="s">
        <v>3</v>
      </c>
      <c r="C21" s="14">
        <v>1.0</v>
      </c>
      <c r="D21" s="1"/>
      <c r="E21" s="1"/>
      <c r="F21" s="1"/>
      <c r="G21" s="1"/>
      <c r="H21" s="1"/>
      <c r="I21" s="1"/>
    </row>
    <row r="22" ht="15.75" customHeight="1">
      <c r="A22" s="13">
        <v>7.0</v>
      </c>
      <c r="B22" s="15" t="s">
        <v>6</v>
      </c>
      <c r="C22" s="14" t="s">
        <v>14</v>
      </c>
      <c r="D22" s="1"/>
      <c r="E22" s="1"/>
      <c r="F22" s="1"/>
      <c r="G22" s="1"/>
      <c r="H22" s="1"/>
      <c r="I22" s="1"/>
    </row>
    <row r="23" ht="15.75" customHeight="1">
      <c r="A23" s="13"/>
      <c r="B23" s="1"/>
      <c r="C23" s="2"/>
      <c r="D23" s="2"/>
      <c r="E23" s="2"/>
      <c r="F23" s="1"/>
      <c r="G23" s="1"/>
      <c r="H23" s="1"/>
      <c r="I23" s="1"/>
    </row>
    <row r="24" ht="15.75" customHeight="1">
      <c r="B24" s="16" t="s">
        <v>15</v>
      </c>
      <c r="C24" s="17"/>
      <c r="D24" s="18"/>
      <c r="E24" s="18"/>
      <c r="F24" s="1"/>
      <c r="G24" s="1"/>
      <c r="H24" s="1"/>
      <c r="I24" s="1"/>
    </row>
    <row r="25" ht="21.0" customHeight="1">
      <c r="B25" s="6" t="s">
        <v>1</v>
      </c>
      <c r="C25" s="19" t="s">
        <v>2</v>
      </c>
      <c r="D25" s="1"/>
      <c r="E25" s="1"/>
      <c r="F25" s="1"/>
      <c r="G25" s="1"/>
      <c r="H25" s="1"/>
      <c r="I25" s="1"/>
    </row>
    <row r="26" ht="15.75" customHeight="1">
      <c r="A26" s="8"/>
      <c r="B26" s="11" t="s">
        <v>6</v>
      </c>
      <c r="C26" s="20">
        <v>5.5909</v>
      </c>
      <c r="D26" s="21"/>
      <c r="E26" s="1"/>
      <c r="F26" s="1"/>
      <c r="G26" s="1"/>
      <c r="H26" s="1"/>
      <c r="I26" s="1"/>
    </row>
    <row r="27" ht="15.75" customHeight="1">
      <c r="A27" s="8"/>
      <c r="B27" s="11" t="s">
        <v>5</v>
      </c>
      <c r="C27" s="20">
        <v>0.8</v>
      </c>
      <c r="D27" s="21"/>
      <c r="E27" s="1"/>
      <c r="F27" s="1"/>
      <c r="G27" s="1"/>
      <c r="H27" s="1"/>
      <c r="I27" s="1"/>
    </row>
    <row r="28" ht="15.75" customHeight="1">
      <c r="A28" s="8"/>
      <c r="B28" s="11" t="s">
        <v>9</v>
      </c>
      <c r="C28" s="20">
        <v>0.7143</v>
      </c>
      <c r="D28" s="21"/>
      <c r="E28" s="1"/>
      <c r="F28" s="1"/>
      <c r="G28" s="1"/>
      <c r="H28" s="1"/>
      <c r="I28" s="1"/>
    </row>
    <row r="29" ht="15.75" customHeight="1">
      <c r="A29" s="8"/>
      <c r="B29" s="11" t="s">
        <v>7</v>
      </c>
      <c r="C29" s="20">
        <v>0.2222</v>
      </c>
      <c r="D29" s="21"/>
      <c r="E29" s="1"/>
      <c r="F29" s="1"/>
      <c r="G29" s="1"/>
      <c r="H29" s="1"/>
      <c r="I29" s="1"/>
    </row>
    <row r="30" ht="15.75" customHeight="1">
      <c r="A30" s="8"/>
      <c r="B30" s="11" t="s">
        <v>8</v>
      </c>
      <c r="C30" s="20">
        <v>0.0556</v>
      </c>
      <c r="D30" s="21"/>
      <c r="E30" s="1"/>
      <c r="F30" s="1"/>
      <c r="G30" s="1"/>
      <c r="H30" s="1"/>
      <c r="I30" s="1"/>
    </row>
    <row r="31" ht="15.75" customHeight="1">
      <c r="A31" s="8"/>
      <c r="B31" s="11" t="s">
        <v>4</v>
      </c>
      <c r="C31" s="22" t="str">
        <f t="shared" ref="C31:C33" si="1">#REF!*B31</f>
        <v>#REF!</v>
      </c>
      <c r="D31" s="21"/>
      <c r="E31" s="1"/>
      <c r="F31" s="1"/>
      <c r="G31" s="1"/>
      <c r="H31" s="1"/>
      <c r="I31" s="1"/>
    </row>
    <row r="32" ht="15.75" customHeight="1">
      <c r="A32" s="8"/>
      <c r="B32" s="11" t="s">
        <v>10</v>
      </c>
      <c r="C32" s="22" t="str">
        <f t="shared" si="1"/>
        <v>#REF!</v>
      </c>
      <c r="D32" s="21"/>
      <c r="E32" s="1"/>
      <c r="F32" s="1"/>
      <c r="G32" s="1"/>
      <c r="H32" s="1"/>
      <c r="I32" s="1"/>
    </row>
    <row r="33" ht="15.75" customHeight="1">
      <c r="A33" s="8"/>
      <c r="B33" s="11" t="s">
        <v>3</v>
      </c>
      <c r="C33" s="22" t="str">
        <f t="shared" si="1"/>
        <v>#REF!</v>
      </c>
      <c r="D33" s="21"/>
      <c r="E33" s="1"/>
      <c r="F33" s="1"/>
      <c r="G33" s="1"/>
      <c r="H33" s="1"/>
      <c r="I33" s="1"/>
    </row>
    <row r="34" ht="15.75" customHeight="1">
      <c r="A34" s="8"/>
      <c r="B34" s="1"/>
      <c r="C34" s="2"/>
      <c r="D34" s="2"/>
      <c r="E34" s="2"/>
      <c r="F34" s="1"/>
      <c r="G34" s="1"/>
      <c r="H34" s="1"/>
      <c r="I34" s="1"/>
    </row>
    <row r="35" ht="15.75" customHeight="1">
      <c r="B35" s="23" t="s">
        <v>16</v>
      </c>
      <c r="C35" s="24"/>
      <c r="D35" s="25"/>
      <c r="E35" s="25"/>
      <c r="F35" s="1"/>
      <c r="G35" s="1"/>
      <c r="H35" s="1"/>
      <c r="I35" s="1"/>
    </row>
    <row r="36" ht="28.5" customHeight="1">
      <c r="A36" s="26"/>
      <c r="B36" s="27" t="s">
        <v>1</v>
      </c>
      <c r="C36" s="27" t="s">
        <v>2</v>
      </c>
      <c r="D36" s="28"/>
      <c r="E36" s="28"/>
      <c r="F36" s="1"/>
      <c r="G36" s="1"/>
      <c r="H36" s="1"/>
      <c r="I36" s="29"/>
    </row>
    <row r="37" ht="15.75" customHeight="1">
      <c r="A37" s="8"/>
      <c r="B37" s="11" t="s">
        <v>4</v>
      </c>
      <c r="C37" s="20">
        <v>0.28</v>
      </c>
      <c r="D37" s="1"/>
      <c r="E37" s="1"/>
      <c r="F37" s="1"/>
      <c r="G37" s="1"/>
      <c r="H37" s="1"/>
      <c r="I37" s="29"/>
    </row>
    <row r="38" ht="15.75" customHeight="1">
      <c r="A38" s="8"/>
      <c r="B38" s="11" t="s">
        <v>5</v>
      </c>
      <c r="C38" s="20">
        <v>0.0726</v>
      </c>
      <c r="D38" s="1"/>
      <c r="E38" s="1"/>
      <c r="F38" s="1"/>
      <c r="G38" s="1"/>
      <c r="H38" s="1"/>
      <c r="I38" s="29"/>
    </row>
    <row r="39" ht="15.75" customHeight="1">
      <c r="A39" s="8"/>
      <c r="B39" s="11" t="s">
        <v>8</v>
      </c>
      <c r="C39" s="20">
        <v>9.0E-4</v>
      </c>
      <c r="D39" s="1"/>
      <c r="E39" s="1"/>
      <c r="F39" s="1"/>
      <c r="G39" s="1"/>
      <c r="H39" s="1"/>
      <c r="I39" s="29"/>
    </row>
    <row r="40" ht="15.75" customHeight="1">
      <c r="A40" s="8"/>
      <c r="B40" s="11" t="s">
        <v>7</v>
      </c>
      <c r="C40" s="20">
        <v>0.0</v>
      </c>
      <c r="D40" s="1"/>
      <c r="E40" s="1"/>
      <c r="F40" s="1"/>
      <c r="G40" s="1"/>
      <c r="H40" s="1"/>
      <c r="I40" s="29"/>
    </row>
    <row r="41" ht="15.75" customHeight="1">
      <c r="B41" s="11" t="s">
        <v>10</v>
      </c>
      <c r="C41" s="20">
        <v>0.0</v>
      </c>
      <c r="D41" s="1"/>
      <c r="E41" s="1"/>
      <c r="F41" s="1"/>
      <c r="G41" s="1"/>
      <c r="H41" s="1"/>
      <c r="I41" s="29"/>
    </row>
    <row r="42" ht="15.75" customHeight="1">
      <c r="A42" s="8"/>
      <c r="B42" s="11" t="s">
        <v>3</v>
      </c>
      <c r="C42" s="20">
        <v>0.0</v>
      </c>
      <c r="D42" s="1"/>
      <c r="E42" s="1"/>
      <c r="F42" s="1"/>
      <c r="G42" s="1"/>
      <c r="H42" s="1"/>
      <c r="I42" s="29"/>
    </row>
    <row r="43" ht="15.75" customHeight="1">
      <c r="A43" s="8"/>
      <c r="B43" s="30" t="s">
        <v>17</v>
      </c>
      <c r="C43" s="20">
        <v>0.0</v>
      </c>
      <c r="D43" s="1"/>
      <c r="E43" s="1"/>
      <c r="F43" s="1"/>
      <c r="G43" s="1"/>
      <c r="H43" s="1"/>
      <c r="I43" s="29"/>
    </row>
    <row r="44" ht="15.75" customHeight="1">
      <c r="B44" s="30" t="s">
        <v>18</v>
      </c>
      <c r="C44" s="20">
        <v>0.0</v>
      </c>
      <c r="D44" s="1"/>
      <c r="E44" s="1"/>
      <c r="F44" s="1"/>
      <c r="G44" s="1"/>
      <c r="H44" s="1"/>
      <c r="I44" s="29"/>
    </row>
    <row r="45" ht="15.75" customHeight="1">
      <c r="B45" s="1"/>
      <c r="C45" s="2"/>
      <c r="D45" s="2"/>
      <c r="E45" s="2"/>
      <c r="F45" s="1"/>
      <c r="G45" s="1"/>
      <c r="H45" s="1"/>
      <c r="I45" s="1"/>
    </row>
    <row r="46" ht="15.75" customHeight="1">
      <c r="B46" s="31" t="s">
        <v>19</v>
      </c>
      <c r="C46" s="2"/>
      <c r="D46" s="2"/>
      <c r="E46" s="2"/>
      <c r="F46" s="1"/>
      <c r="G46" s="1"/>
      <c r="H46" s="1"/>
      <c r="I46" s="1"/>
    </row>
    <row r="47" ht="15.75" customHeight="1">
      <c r="B47" s="27" t="s">
        <v>1</v>
      </c>
      <c r="C47" s="27" t="s">
        <v>12</v>
      </c>
      <c r="D47" s="2"/>
      <c r="E47" s="2"/>
      <c r="F47" s="1"/>
      <c r="G47" s="1"/>
      <c r="H47" s="1"/>
      <c r="I47" s="1"/>
    </row>
    <row r="48" ht="15.75" customHeight="1">
      <c r="B48" s="15" t="s">
        <v>4</v>
      </c>
      <c r="C48" s="32">
        <v>0.0</v>
      </c>
      <c r="D48" s="2"/>
      <c r="E48" s="2"/>
      <c r="F48" s="1"/>
      <c r="G48" s="1"/>
      <c r="H48" s="1"/>
      <c r="I48" s="1"/>
    </row>
    <row r="49" ht="15.75" customHeight="1">
      <c r="B49" s="11" t="s">
        <v>5</v>
      </c>
      <c r="C49" s="14">
        <v>39.0</v>
      </c>
      <c r="D49" s="2"/>
      <c r="E49" s="2"/>
      <c r="F49" s="1"/>
      <c r="G49" s="1"/>
      <c r="H49" s="1"/>
      <c r="I49" s="1"/>
    </row>
    <row r="50" ht="15.75" customHeight="1">
      <c r="B50" s="15" t="s">
        <v>8</v>
      </c>
      <c r="C50" s="14">
        <v>3159.0</v>
      </c>
      <c r="D50" s="2"/>
      <c r="E50" s="2"/>
      <c r="F50" s="1"/>
      <c r="G50" s="1"/>
      <c r="H50" s="1"/>
      <c r="I50" s="1"/>
    </row>
    <row r="51" ht="15.75" customHeight="1">
      <c r="B51" s="15" t="s">
        <v>7</v>
      </c>
      <c r="C51" s="14">
        <v>36223.0</v>
      </c>
      <c r="D51" s="2"/>
      <c r="E51" s="2"/>
      <c r="F51" s="1"/>
      <c r="G51" s="1"/>
      <c r="H51" s="1"/>
      <c r="I51" s="1"/>
    </row>
    <row r="52" ht="15.75" customHeight="1">
      <c r="B52" s="11" t="s">
        <v>10</v>
      </c>
      <c r="C52" s="14">
        <v>10.0</v>
      </c>
      <c r="D52" s="2"/>
      <c r="E52" s="2"/>
      <c r="F52" s="1"/>
      <c r="G52" s="1"/>
      <c r="H52" s="1"/>
      <c r="I52" s="1"/>
    </row>
    <row r="53" ht="15.75" customHeight="1">
      <c r="B53" s="11" t="s">
        <v>3</v>
      </c>
      <c r="C53" s="14">
        <v>5.0</v>
      </c>
      <c r="D53" s="2"/>
      <c r="E53" s="2"/>
      <c r="F53" s="1"/>
      <c r="G53" s="1"/>
      <c r="H53" s="1"/>
      <c r="I53" s="1"/>
    </row>
    <row r="54" ht="15.75" customHeight="1">
      <c r="B54" s="30" t="s">
        <v>20</v>
      </c>
      <c r="C54" s="32">
        <v>0.0</v>
      </c>
      <c r="D54" s="2"/>
      <c r="E54" s="2"/>
      <c r="F54" s="1"/>
      <c r="G54" s="1"/>
      <c r="H54" s="1"/>
      <c r="I54" s="1"/>
    </row>
    <row r="55" ht="15.75" customHeight="1">
      <c r="B55" s="30" t="s">
        <v>21</v>
      </c>
      <c r="C55" s="32">
        <v>0.0</v>
      </c>
      <c r="D55" s="2"/>
      <c r="E55" s="2"/>
      <c r="F55" s="1"/>
      <c r="G55" s="1"/>
      <c r="H55" s="1"/>
      <c r="I55" s="1"/>
    </row>
  </sheetData>
  <mergeCells count="1">
    <mergeCell ref="B24:C24"/>
  </mergeCells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7"/>
    <hyperlink r:id="rId26" ref="B38"/>
    <hyperlink r:id="rId27" ref="B39"/>
    <hyperlink r:id="rId28" ref="B40"/>
    <hyperlink r:id="rId29" ref="B41"/>
    <hyperlink r:id="rId30" ref="B42"/>
    <hyperlink r:id="rId31" ref="B49"/>
    <hyperlink r:id="rId32" ref="B52"/>
    <hyperlink r:id="rId33" ref="B53"/>
  </hyperlinks>
  <printOptions/>
  <pageMargins bottom="0.787401575" footer="0.0" header="0.0" left="0.511811024" right="0.511811024" top="0.787401575"/>
  <pageSetup orientation="landscape"/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8.0"/>
    <col customWidth="1" min="3" max="5" width="10.44"/>
    <col customWidth="1" min="6" max="6" width="11.44"/>
    <col customWidth="1" min="7" max="7" width="10.44"/>
    <col customWidth="1" min="8" max="8" width="5.33"/>
    <col customWidth="1" min="9" max="9" width="20.33"/>
    <col customWidth="1" min="10" max="13" width="5.33"/>
  </cols>
  <sheetData>
    <row r="1" ht="10.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75" customHeight="1">
      <c r="B2" s="33" t="s">
        <v>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5.75" customHeight="1">
      <c r="B3" s="6" t="s">
        <v>1</v>
      </c>
      <c r="C3" s="6" t="s">
        <v>23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ht="15.75" customHeight="1">
      <c r="A4" s="8"/>
      <c r="B4" s="34" t="s">
        <v>24</v>
      </c>
      <c r="C4" s="35">
        <v>79.0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ht="15.75" customHeight="1">
      <c r="A5" s="8"/>
      <c r="B5" s="34" t="s">
        <v>25</v>
      </c>
      <c r="C5" s="35">
        <v>75.0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ht="15.75" customHeight="1">
      <c r="B6" s="11" t="s">
        <v>5</v>
      </c>
      <c r="C6" s="35">
        <v>72.0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ht="15.75" customHeight="1">
      <c r="A7" s="8"/>
      <c r="B7" s="11" t="s">
        <v>4</v>
      </c>
      <c r="C7" s="35">
        <v>71.0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ht="15.75" customHeight="1">
      <c r="A8" s="8"/>
      <c r="B8" s="34" t="s">
        <v>26</v>
      </c>
      <c r="C8" s="35">
        <v>71.0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ht="15.75" customHeight="1">
      <c r="B9" s="34" t="s">
        <v>27</v>
      </c>
      <c r="C9" s="35">
        <v>66.0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ht="15.75" customHeight="1">
      <c r="B10" s="34" t="s">
        <v>28</v>
      </c>
      <c r="C10" s="35">
        <v>57.0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15.75" customHeight="1">
      <c r="A11" s="8"/>
      <c r="B11" s="34" t="s">
        <v>29</v>
      </c>
      <c r="C11" s="35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ht="15.7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ht="15.75" customHeight="1">
      <c r="B13" s="36" t="s">
        <v>30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ht="15.75" customHeight="1">
      <c r="B14" s="6" t="s">
        <v>1</v>
      </c>
      <c r="C14" s="37" t="s">
        <v>31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ht="15.75" customHeight="1">
      <c r="B15" s="34" t="s">
        <v>32</v>
      </c>
      <c r="C15" s="38">
        <v>76.0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ht="15.75" customHeight="1">
      <c r="B16" s="11" t="s">
        <v>4</v>
      </c>
      <c r="C16" s="38">
        <v>68.5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ht="15.75" customHeight="1">
      <c r="B17" s="34" t="s">
        <v>33</v>
      </c>
      <c r="C17" s="38">
        <v>64.0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ht="15.75" customHeight="1">
      <c r="B18" s="34" t="s">
        <v>34</v>
      </c>
      <c r="C18" s="38">
        <v>59.5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ht="15.75" customHeight="1">
      <c r="B19" s="34" t="s">
        <v>35</v>
      </c>
      <c r="C19" s="38">
        <v>51.0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ht="15.75" customHeight="1">
      <c r="B20" s="9" t="s">
        <v>5</v>
      </c>
      <c r="C20" s="38">
        <v>49.5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15.75" customHeight="1">
      <c r="B21" s="34" t="s">
        <v>36</v>
      </c>
      <c r="C21" s="38">
        <v>47.5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ht="15.75" customHeight="1">
      <c r="B22" s="34" t="s">
        <v>37</v>
      </c>
      <c r="C22" s="38">
        <v>33.5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5.7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15.75" customHeight="1">
      <c r="B24" s="39" t="s">
        <v>38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5.75" customHeight="1">
      <c r="A25" s="13">
        <v>5.0</v>
      </c>
      <c r="B25" s="6" t="s">
        <v>1</v>
      </c>
      <c r="C25" s="6" t="s">
        <v>2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5.75" customHeight="1">
      <c r="A26" s="8"/>
      <c r="B26" s="11" t="s">
        <v>4</v>
      </c>
      <c r="C26" s="40">
        <v>166.6</v>
      </c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15.75" customHeight="1">
      <c r="B27" s="11" t="s">
        <v>5</v>
      </c>
      <c r="C27" s="40">
        <v>27.0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15.75" customHeight="1">
      <c r="A28" s="8"/>
      <c r="B28" s="11" t="s">
        <v>8</v>
      </c>
      <c r="C28" s="40">
        <v>26.24</v>
      </c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15.75" customHeight="1">
      <c r="A29" s="8"/>
      <c r="B29" s="11" t="s">
        <v>6</v>
      </c>
      <c r="C29" s="40">
        <v>17.0</v>
      </c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5.75" customHeight="1">
      <c r="A30" s="8"/>
      <c r="B30" s="11" t="s">
        <v>3</v>
      </c>
      <c r="C30" s="40">
        <v>6.0</v>
      </c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5.75" customHeight="1">
      <c r="B31" s="11" t="s">
        <v>7</v>
      </c>
      <c r="C31" s="40">
        <v>4.44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5.75" customHeight="1">
      <c r="A32" s="8"/>
      <c r="B32" s="11" t="s">
        <v>9</v>
      </c>
      <c r="C32" s="40">
        <v>0.0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5.75" customHeight="1">
      <c r="A33" s="8"/>
      <c r="B33" s="30" t="s">
        <v>39</v>
      </c>
      <c r="C33" s="41">
        <v>0.0</v>
      </c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5.75" customHeight="1">
      <c r="B35" s="42" t="s">
        <v>40</v>
      </c>
      <c r="C35" s="42" t="s">
        <v>23</v>
      </c>
      <c r="D35" s="42" t="s">
        <v>41</v>
      </c>
      <c r="E35" s="42" t="s">
        <v>42</v>
      </c>
      <c r="F35" s="43" t="s">
        <v>43</v>
      </c>
      <c r="G35" s="43" t="s">
        <v>44</v>
      </c>
      <c r="H35" s="43" t="s">
        <v>45</v>
      </c>
      <c r="I35" s="44" t="s">
        <v>46</v>
      </c>
      <c r="J35" s="1"/>
      <c r="K35" s="1"/>
      <c r="L35" s="1"/>
      <c r="M35" s="1"/>
    </row>
    <row r="36" ht="15.75" customHeight="1">
      <c r="B36" s="45">
        <v>8.0</v>
      </c>
      <c r="C36" s="46" t="s">
        <v>47</v>
      </c>
      <c r="D36" s="46" t="s">
        <v>48</v>
      </c>
      <c r="E36" s="47" t="s">
        <v>4</v>
      </c>
      <c r="F36" s="47" t="s">
        <v>3</v>
      </c>
      <c r="G36" s="47" t="s">
        <v>13</v>
      </c>
      <c r="H36" s="47" t="s">
        <v>6</v>
      </c>
      <c r="I36" s="47" t="s">
        <v>4</v>
      </c>
      <c r="J36" s="1"/>
      <c r="K36" s="1"/>
      <c r="L36" s="1"/>
      <c r="M36" s="1"/>
    </row>
    <row r="37" ht="15.75" customHeight="1">
      <c r="B37" s="45">
        <v>7.0</v>
      </c>
      <c r="C37" s="46" t="s">
        <v>49</v>
      </c>
      <c r="D37" s="47" t="s">
        <v>4</v>
      </c>
      <c r="E37" s="47" t="s">
        <v>5</v>
      </c>
      <c r="F37" s="47" t="s">
        <v>4</v>
      </c>
      <c r="G37" s="47" t="s">
        <v>8</v>
      </c>
      <c r="H37" s="47" t="s">
        <v>5</v>
      </c>
      <c r="I37" s="47" t="s">
        <v>5</v>
      </c>
      <c r="J37" s="1"/>
      <c r="K37" s="1"/>
      <c r="L37" s="1"/>
      <c r="M37" s="1"/>
    </row>
    <row r="38" ht="15.75" customHeight="1">
      <c r="B38" s="45">
        <v>6.0</v>
      </c>
      <c r="C38" s="47" t="s">
        <v>5</v>
      </c>
      <c r="D38" s="46" t="s">
        <v>50</v>
      </c>
      <c r="E38" s="47" t="s">
        <v>8</v>
      </c>
      <c r="F38" s="47" t="s">
        <v>5</v>
      </c>
      <c r="G38" s="47" t="s">
        <v>7</v>
      </c>
      <c r="H38" s="47" t="s">
        <v>9</v>
      </c>
      <c r="I38" s="47" t="s">
        <v>8</v>
      </c>
      <c r="J38" s="1"/>
      <c r="K38" s="1"/>
      <c r="L38" s="1"/>
      <c r="M38" s="1"/>
    </row>
    <row r="39" ht="15.75" customHeight="1">
      <c r="B39" s="45">
        <v>5.0</v>
      </c>
      <c r="C39" s="47" t="s">
        <v>4</v>
      </c>
      <c r="D39" s="46" t="s">
        <v>51</v>
      </c>
      <c r="E39" s="47" t="s">
        <v>6</v>
      </c>
      <c r="F39" s="47" t="s">
        <v>6</v>
      </c>
      <c r="G39" s="47" t="s">
        <v>4</v>
      </c>
      <c r="H39" s="47" t="s">
        <v>7</v>
      </c>
      <c r="I39" s="47" t="s">
        <v>7</v>
      </c>
      <c r="J39" s="1"/>
      <c r="K39" s="1"/>
      <c r="L39" s="1"/>
      <c r="M39" s="1"/>
    </row>
    <row r="40" ht="15.75" customHeight="1">
      <c r="B40" s="45">
        <v>4.0</v>
      </c>
      <c r="C40" s="46" t="s">
        <v>52</v>
      </c>
      <c r="D40" s="46" t="s">
        <v>53</v>
      </c>
      <c r="E40" s="47" t="s">
        <v>3</v>
      </c>
      <c r="F40" s="47" t="s">
        <v>7</v>
      </c>
      <c r="G40" s="47" t="s">
        <v>9</v>
      </c>
      <c r="H40" s="47" t="s">
        <v>8</v>
      </c>
      <c r="I40" s="47" t="s">
        <v>10</v>
      </c>
      <c r="J40" s="1"/>
      <c r="K40" s="1"/>
      <c r="L40" s="1"/>
      <c r="M40" s="1"/>
    </row>
    <row r="41" ht="15.75" customHeight="1">
      <c r="B41" s="45">
        <v>3.0</v>
      </c>
      <c r="C41" s="46" t="s">
        <v>54</v>
      </c>
      <c r="D41" s="47" t="s">
        <v>5</v>
      </c>
      <c r="E41" s="47" t="s">
        <v>7</v>
      </c>
      <c r="F41" s="47" t="s">
        <v>8</v>
      </c>
      <c r="G41" s="47" t="s">
        <v>10</v>
      </c>
      <c r="H41" s="47" t="s">
        <v>4</v>
      </c>
      <c r="I41" s="47" t="s">
        <v>3</v>
      </c>
      <c r="J41" s="1"/>
      <c r="K41" s="1"/>
      <c r="L41" s="1"/>
      <c r="M41" s="1"/>
    </row>
    <row r="42" ht="15.75" customHeight="1">
      <c r="B42" s="45">
        <v>2.0</v>
      </c>
      <c r="C42" s="46" t="s">
        <v>55</v>
      </c>
      <c r="D42" s="46" t="s">
        <v>56</v>
      </c>
      <c r="E42" s="47" t="s">
        <v>9</v>
      </c>
      <c r="F42" s="47" t="s">
        <v>9</v>
      </c>
      <c r="G42" s="47" t="s">
        <v>3</v>
      </c>
      <c r="H42" s="47" t="s">
        <v>10</v>
      </c>
      <c r="I42" s="48" t="s">
        <v>57</v>
      </c>
      <c r="J42" s="1"/>
      <c r="K42" s="1"/>
      <c r="L42" s="1"/>
      <c r="M42" s="1"/>
    </row>
    <row r="43" ht="15.75" customHeight="1">
      <c r="B43" s="45">
        <v>1.0</v>
      </c>
      <c r="C43" s="46" t="s">
        <v>58</v>
      </c>
      <c r="D43" s="46" t="s">
        <v>59</v>
      </c>
      <c r="E43" s="48" t="s">
        <v>60</v>
      </c>
      <c r="F43" s="47" t="s">
        <v>10</v>
      </c>
      <c r="G43" s="49" t="s">
        <v>6</v>
      </c>
      <c r="H43" s="47" t="s">
        <v>3</v>
      </c>
      <c r="I43" s="48" t="s">
        <v>61</v>
      </c>
      <c r="J43" s="1"/>
      <c r="K43" s="1"/>
      <c r="L43" s="1"/>
      <c r="M43" s="1"/>
    </row>
    <row r="44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5.75" customHeight="1">
      <c r="B45" s="50" t="s">
        <v>62</v>
      </c>
      <c r="C45" s="5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5.75" customHeight="1">
      <c r="B46" s="37" t="s">
        <v>1</v>
      </c>
      <c r="C46" s="37" t="s">
        <v>63</v>
      </c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.75" customHeight="1">
      <c r="A47" s="52"/>
      <c r="B47" s="53" t="s">
        <v>5</v>
      </c>
      <c r="C47" s="40">
        <v>44.0</v>
      </c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5.75" customHeight="1">
      <c r="A48" s="54"/>
      <c r="B48" s="55" t="s">
        <v>4</v>
      </c>
      <c r="C48" s="40">
        <v>43.0</v>
      </c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.75" customHeight="1">
      <c r="A49" s="54"/>
      <c r="B49" s="56" t="s">
        <v>64</v>
      </c>
      <c r="C49" s="40">
        <v>34.0</v>
      </c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.75" customHeight="1">
      <c r="A50" s="52"/>
      <c r="B50" s="56" t="s">
        <v>65</v>
      </c>
      <c r="C50" s="40">
        <v>32.0</v>
      </c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5.75" customHeight="1">
      <c r="A51" s="52"/>
      <c r="B51" s="56" t="s">
        <v>66</v>
      </c>
      <c r="C51" s="40">
        <v>31.0</v>
      </c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5.75" customHeight="1">
      <c r="B52" s="56" t="s">
        <v>67</v>
      </c>
      <c r="C52" s="40">
        <v>28.0</v>
      </c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5.75" customHeight="1">
      <c r="A53" s="54"/>
      <c r="B53" s="56" t="s">
        <v>68</v>
      </c>
      <c r="C53" s="40">
        <v>24.0</v>
      </c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5.75" customHeight="1">
      <c r="B54" s="56" t="s">
        <v>69</v>
      </c>
      <c r="C54" s="40">
        <v>16.0</v>
      </c>
      <c r="D54" s="1"/>
      <c r="E54" s="1"/>
      <c r="F54" s="1"/>
      <c r="G54" s="1"/>
      <c r="H54" s="1"/>
      <c r="I54" s="1"/>
      <c r="J54" s="1"/>
      <c r="K54" s="1"/>
      <c r="L54" s="1"/>
      <c r="M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5.75" customHeight="1">
      <c r="A56" s="57"/>
      <c r="B56" s="58" t="s">
        <v>70</v>
      </c>
      <c r="C56" s="5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5.75" customHeight="1">
      <c r="A57" s="57"/>
      <c r="B57" s="37" t="s">
        <v>1</v>
      </c>
      <c r="C57" s="37" t="s">
        <v>63</v>
      </c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5.75" customHeight="1">
      <c r="A58" s="57"/>
      <c r="B58" s="55" t="s">
        <v>5</v>
      </c>
      <c r="C58" s="40">
        <v>134.0</v>
      </c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57"/>
      <c r="B59" s="55" t="s">
        <v>4</v>
      </c>
      <c r="C59" s="40">
        <v>138.0</v>
      </c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57"/>
      <c r="B60" s="56" t="s">
        <v>71</v>
      </c>
      <c r="C60" s="40">
        <v>128.0</v>
      </c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57"/>
      <c r="B61" s="56" t="s">
        <v>72</v>
      </c>
      <c r="C61" s="40">
        <v>92.0</v>
      </c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57"/>
      <c r="B62" s="56" t="s">
        <v>73</v>
      </c>
      <c r="C62" s="40">
        <v>97.0</v>
      </c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5.75" customHeight="1">
      <c r="A63" s="57"/>
      <c r="B63" s="56" t="s">
        <v>74</v>
      </c>
      <c r="C63" s="40">
        <v>105.0</v>
      </c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5.75" customHeight="1">
      <c r="A64" s="57"/>
      <c r="B64" s="56" t="s">
        <v>75</v>
      </c>
      <c r="C64" s="40">
        <v>84.0</v>
      </c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5.75" customHeight="1">
      <c r="A65" s="57"/>
      <c r="B65" s="56" t="s">
        <v>76</v>
      </c>
      <c r="C65" s="40">
        <v>50.0</v>
      </c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57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57"/>
      <c r="B67" s="6" t="s">
        <v>1</v>
      </c>
      <c r="C67" s="6" t="s">
        <v>63</v>
      </c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57"/>
      <c r="B68" s="59" t="s">
        <v>4</v>
      </c>
      <c r="C68" s="60">
        <v>144.0</v>
      </c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57"/>
      <c r="B69" s="55" t="s">
        <v>4</v>
      </c>
      <c r="C69" s="61">
        <v>138.0</v>
      </c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57"/>
      <c r="B70" s="55" t="s">
        <v>5</v>
      </c>
      <c r="C70" s="61">
        <v>134.0</v>
      </c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57"/>
      <c r="B71" s="56" t="s">
        <v>77</v>
      </c>
      <c r="C71" s="61">
        <v>128.0</v>
      </c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57"/>
      <c r="B72" s="56" t="s">
        <v>78</v>
      </c>
      <c r="C72" s="61">
        <v>105.0</v>
      </c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57"/>
      <c r="B73" s="56" t="s">
        <v>79</v>
      </c>
      <c r="C73" s="61">
        <v>97.0</v>
      </c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57"/>
      <c r="B74" s="56" t="s">
        <v>80</v>
      </c>
      <c r="C74" s="61">
        <v>92.0</v>
      </c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57"/>
      <c r="B75" s="56" t="s">
        <v>81</v>
      </c>
      <c r="C75" s="61">
        <v>84.0</v>
      </c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57"/>
      <c r="B76" s="56" t="s">
        <v>82</v>
      </c>
      <c r="C76" s="61">
        <v>50.0</v>
      </c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57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57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62"/>
      <c r="B79" s="63" t="s">
        <v>83</v>
      </c>
      <c r="J79" s="64"/>
      <c r="K79" s="64"/>
      <c r="L79" s="64"/>
      <c r="M79" s="64"/>
    </row>
    <row r="80" ht="15.75" customHeight="1">
      <c r="A80" s="57"/>
      <c r="B80" s="64">
        <v>46381.0</v>
      </c>
      <c r="C80" s="64">
        <v>46048.0</v>
      </c>
      <c r="D80" s="64">
        <v>46079.0</v>
      </c>
      <c r="E80" s="64">
        <v>46107.0</v>
      </c>
    </row>
    <row r="81" ht="15.75" customHeight="1">
      <c r="A81" s="57"/>
      <c r="B81" s="1">
        <v>69.0</v>
      </c>
      <c r="C81" s="1">
        <v>69.0</v>
      </c>
      <c r="D81" s="57">
        <v>70.0</v>
      </c>
      <c r="E81" s="57">
        <v>70.0</v>
      </c>
    </row>
  </sheetData>
  <mergeCells count="2">
    <mergeCell ref="B45:C45"/>
    <mergeCell ref="B56:C56"/>
  </mergeCells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3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6"/>
    <hyperlink r:id="rId20" ref="B27"/>
    <hyperlink r:id="rId21" ref="B28"/>
    <hyperlink r:id="rId22" ref="B29"/>
    <hyperlink r:id="rId23" ref="B30"/>
    <hyperlink r:id="rId24" ref="B31"/>
    <hyperlink r:id="rId25" ref="B32"/>
    <hyperlink r:id="rId26" ref="C36"/>
    <hyperlink r:id="rId27" ref="D36"/>
    <hyperlink r:id="rId28" ref="E36"/>
    <hyperlink r:id="rId29" ref="F36"/>
    <hyperlink r:id="rId30" ref="G36"/>
    <hyperlink r:id="rId31" ref="H36"/>
    <hyperlink r:id="rId32" ref="I36"/>
    <hyperlink r:id="rId33" ref="C37"/>
    <hyperlink r:id="rId34" ref="D37"/>
    <hyperlink r:id="rId35" ref="E37"/>
    <hyperlink r:id="rId36" ref="F37"/>
    <hyperlink r:id="rId37" ref="G37"/>
    <hyperlink r:id="rId38" ref="H37"/>
    <hyperlink r:id="rId39" ref="I37"/>
    <hyperlink r:id="rId40" ref="C38"/>
    <hyperlink r:id="rId41" ref="D38"/>
    <hyperlink r:id="rId42" ref="E38"/>
    <hyperlink r:id="rId43" ref="F38"/>
    <hyperlink r:id="rId44" ref="G38"/>
    <hyperlink r:id="rId45" ref="H38"/>
    <hyperlink r:id="rId46" ref="I38"/>
    <hyperlink r:id="rId47" ref="C39"/>
    <hyperlink r:id="rId48" ref="D39"/>
    <hyperlink r:id="rId49" ref="E39"/>
    <hyperlink r:id="rId50" ref="F39"/>
    <hyperlink r:id="rId51" ref="G39"/>
    <hyperlink r:id="rId52" ref="H39"/>
    <hyperlink r:id="rId53" ref="I39"/>
    <hyperlink r:id="rId54" ref="C40"/>
    <hyperlink r:id="rId55" ref="D40"/>
    <hyperlink r:id="rId56" ref="E40"/>
    <hyperlink r:id="rId57" ref="F40"/>
    <hyperlink r:id="rId58" ref="G40"/>
    <hyperlink r:id="rId59" ref="H40"/>
    <hyperlink r:id="rId60" ref="I40"/>
    <hyperlink r:id="rId61" ref="C41"/>
    <hyperlink r:id="rId62" ref="D41"/>
    <hyperlink r:id="rId63" ref="E41"/>
    <hyperlink r:id="rId64" ref="F41"/>
    <hyperlink r:id="rId65" ref="G41"/>
    <hyperlink r:id="rId66" ref="H41"/>
    <hyperlink r:id="rId67" ref="I41"/>
    <hyperlink r:id="rId68" ref="C42"/>
    <hyperlink r:id="rId69" ref="D42"/>
    <hyperlink r:id="rId70" ref="E42"/>
    <hyperlink r:id="rId71" ref="F42"/>
    <hyperlink r:id="rId72" ref="G42"/>
    <hyperlink r:id="rId73" ref="H42"/>
    <hyperlink r:id="rId74" ref="C43"/>
    <hyperlink r:id="rId75" ref="D43"/>
    <hyperlink r:id="rId76" ref="F43"/>
    <hyperlink r:id="rId77" ref="H43"/>
    <hyperlink r:id="rId78" ref="B47"/>
    <hyperlink r:id="rId79" ref="B48"/>
    <hyperlink r:id="rId80" ref="B49"/>
    <hyperlink r:id="rId81" ref="B50"/>
    <hyperlink r:id="rId82" ref="B51"/>
    <hyperlink r:id="rId83" ref="B52"/>
    <hyperlink r:id="rId84" ref="B53"/>
    <hyperlink r:id="rId85" ref="B54"/>
    <hyperlink r:id="rId86" ref="B58"/>
    <hyperlink r:id="rId87" ref="B59"/>
    <hyperlink r:id="rId88" ref="B60"/>
    <hyperlink r:id="rId89" ref="B61"/>
    <hyperlink r:id="rId90" ref="B62"/>
    <hyperlink r:id="rId91" ref="B63"/>
    <hyperlink r:id="rId92" ref="B64"/>
    <hyperlink r:id="rId93" ref="B65"/>
    <hyperlink r:id="rId94" ref="B68"/>
    <hyperlink r:id="rId95" ref="B69"/>
    <hyperlink r:id="rId96" ref="B70"/>
    <hyperlink r:id="rId97" ref="B71"/>
    <hyperlink r:id="rId98" ref="B72"/>
    <hyperlink r:id="rId99" ref="B73"/>
    <hyperlink r:id="rId100" ref="B74"/>
    <hyperlink r:id="rId101" ref="B75"/>
    <hyperlink r:id="rId102" ref="B76"/>
  </hyperlinks>
  <printOptions/>
  <pageMargins bottom="0.787401575" footer="0.0" header="0.0" left="0.511811024" right="0.511811024" top="0.787401575"/>
  <pageSetup orientation="landscape"/>
  <drawing r:id="rId10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56"/>
    <col customWidth="1" min="2" max="2" width="18.22"/>
    <col customWidth="1" min="3" max="3" width="11.0"/>
    <col customWidth="1" min="4" max="8" width="9.44"/>
    <col customWidth="1" min="9" max="10" width="10.67"/>
    <col customWidth="1" min="11" max="11" width="6.22"/>
    <col customWidth="1" min="15" max="15" width="6.89"/>
  </cols>
  <sheetData>
    <row r="1" ht="9.0" customHeight="1">
      <c r="B1" s="1"/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</row>
    <row r="2" ht="15.75" customHeight="1">
      <c r="B2" s="3" t="s">
        <v>0</v>
      </c>
      <c r="C2" s="65"/>
      <c r="D2" s="65"/>
      <c r="E2" s="65"/>
      <c r="F2" s="66"/>
      <c r="G2" s="66"/>
      <c r="H2" s="2"/>
      <c r="I2" s="2"/>
      <c r="J2" s="2"/>
      <c r="K2" s="1"/>
      <c r="L2" s="1"/>
      <c r="M2" s="1"/>
      <c r="N2" s="1"/>
      <c r="O2" s="1"/>
    </row>
    <row r="3" ht="15.75" customHeight="1">
      <c r="A3" s="4"/>
      <c r="B3" s="5" t="s">
        <v>1</v>
      </c>
      <c r="C3" s="6" t="s">
        <v>12</v>
      </c>
      <c r="D3" s="6" t="s">
        <v>84</v>
      </c>
      <c r="E3" s="6" t="s">
        <v>2</v>
      </c>
      <c r="F3" s="67"/>
      <c r="G3" s="67"/>
      <c r="H3" s="67"/>
      <c r="I3" s="7"/>
      <c r="J3" s="7"/>
      <c r="K3" s="7"/>
      <c r="L3" s="7"/>
      <c r="M3" s="7"/>
      <c r="N3" s="7"/>
      <c r="O3" s="7"/>
    </row>
    <row r="4" ht="15.75" customHeight="1">
      <c r="A4" s="8"/>
      <c r="B4" s="9" t="s">
        <v>3</v>
      </c>
      <c r="C4" s="14">
        <v>2795.0</v>
      </c>
      <c r="D4" s="68">
        <v>0.0152</v>
      </c>
      <c r="E4" s="69">
        <f t="shared" ref="E4:E11" si="1">C4*D4</f>
        <v>42.484</v>
      </c>
      <c r="F4" s="2"/>
      <c r="G4" s="2"/>
      <c r="H4" s="2"/>
      <c r="I4" s="1"/>
      <c r="J4" s="1"/>
      <c r="K4" s="1"/>
      <c r="L4" s="1"/>
      <c r="M4" s="1"/>
      <c r="N4" s="1"/>
      <c r="O4" s="1"/>
    </row>
    <row r="5" ht="15.75" customHeight="1">
      <c r="A5" s="8"/>
      <c r="B5" s="11" t="s">
        <v>4</v>
      </c>
      <c r="C5" s="70">
        <v>2543.0</v>
      </c>
      <c r="D5" s="68">
        <v>0.0087</v>
      </c>
      <c r="E5" s="69">
        <f t="shared" si="1"/>
        <v>22.1241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ht="15.75" customHeight="1">
      <c r="A6" s="8"/>
      <c r="B6" s="9" t="s">
        <v>5</v>
      </c>
      <c r="C6" s="14">
        <v>5695.0</v>
      </c>
      <c r="D6" s="68">
        <v>0.0033</v>
      </c>
      <c r="E6" s="69">
        <f t="shared" si="1"/>
        <v>18.7935</v>
      </c>
      <c r="F6" s="2"/>
      <c r="G6" s="2"/>
      <c r="H6" s="2"/>
      <c r="I6" s="1"/>
      <c r="J6" s="1"/>
      <c r="K6" s="1"/>
      <c r="L6" s="1"/>
      <c r="M6" s="1"/>
      <c r="N6" s="1"/>
      <c r="O6" s="1"/>
    </row>
    <row r="7" ht="15.75" customHeight="1">
      <c r="A7" s="8"/>
      <c r="B7" s="9" t="s">
        <v>6</v>
      </c>
      <c r="C7" s="14">
        <v>452.0</v>
      </c>
      <c r="D7" s="68">
        <v>0.0257</v>
      </c>
      <c r="E7" s="69">
        <f t="shared" si="1"/>
        <v>11.6164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ht="15.75" customHeight="1">
      <c r="A8" s="8"/>
      <c r="B8" s="9" t="s">
        <v>7</v>
      </c>
      <c r="C8" s="70">
        <v>4058.0</v>
      </c>
      <c r="D8" s="68">
        <v>0.002</v>
      </c>
      <c r="E8" s="69">
        <f t="shared" si="1"/>
        <v>8.116</v>
      </c>
      <c r="F8" s="2"/>
      <c r="G8" s="2"/>
      <c r="H8" s="2"/>
      <c r="I8" s="1"/>
      <c r="J8" s="1"/>
      <c r="K8" s="1"/>
      <c r="L8" s="1"/>
      <c r="M8" s="1"/>
      <c r="N8" s="1"/>
      <c r="O8" s="1"/>
    </row>
    <row r="9" ht="15.75" customHeight="1">
      <c r="A9" s="8"/>
      <c r="B9" s="9" t="s">
        <v>8</v>
      </c>
      <c r="C9" s="70">
        <v>2137.0</v>
      </c>
      <c r="D9" s="68">
        <v>0.0029</v>
      </c>
      <c r="E9" s="69">
        <f t="shared" si="1"/>
        <v>6.1973</v>
      </c>
      <c r="F9" s="2"/>
      <c r="G9" s="2"/>
      <c r="H9" s="2"/>
      <c r="I9" s="1"/>
      <c r="J9" s="1"/>
      <c r="K9" s="1"/>
      <c r="L9" s="1"/>
      <c r="M9" s="1"/>
      <c r="N9" s="1"/>
      <c r="O9" s="1"/>
    </row>
    <row r="10" ht="15.75" customHeight="1">
      <c r="A10" s="8"/>
      <c r="B10" s="9" t="s">
        <v>9</v>
      </c>
      <c r="C10" s="14">
        <v>343.0</v>
      </c>
      <c r="D10" s="68">
        <v>0.0103</v>
      </c>
      <c r="E10" s="69">
        <f t="shared" si="1"/>
        <v>3.5329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 ht="15.75" customHeight="1">
      <c r="A11" s="8"/>
      <c r="B11" s="9" t="s">
        <v>10</v>
      </c>
      <c r="C11" s="70">
        <v>4.0</v>
      </c>
      <c r="D11" s="68">
        <v>0.0</v>
      </c>
      <c r="E11" s="69">
        <f t="shared" si="1"/>
        <v>0</v>
      </c>
      <c r="F11" s="2"/>
      <c r="G11" s="2"/>
      <c r="H11" s="2"/>
      <c r="I11" s="1"/>
      <c r="J11" s="1"/>
      <c r="K11" s="1"/>
      <c r="L11" s="1"/>
      <c r="M11" s="1"/>
      <c r="N11" s="1"/>
      <c r="O11" s="1"/>
    </row>
    <row r="12" ht="15.75" customHeight="1">
      <c r="A12" s="8"/>
      <c r="B12" s="1"/>
      <c r="C12" s="2"/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15.75" customHeight="1">
      <c r="A13" s="8"/>
      <c r="B13" s="12" t="s">
        <v>11</v>
      </c>
      <c r="C13" s="65"/>
      <c r="D13" s="18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15.75" customHeight="1">
      <c r="B14" s="5" t="s">
        <v>1</v>
      </c>
      <c r="C14" s="6" t="s">
        <v>12</v>
      </c>
      <c r="D14" s="2"/>
      <c r="E14" s="7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5.75" customHeight="1">
      <c r="A15" s="13">
        <v>7.0</v>
      </c>
      <c r="B15" s="9" t="s">
        <v>13</v>
      </c>
      <c r="C15" s="14">
        <v>13000.0</v>
      </c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15.75" customHeight="1">
      <c r="A16" s="13"/>
      <c r="B16" s="11" t="s">
        <v>8</v>
      </c>
      <c r="C16" s="14">
        <v>4400.0</v>
      </c>
      <c r="D16" s="2"/>
      <c r="E16" s="2"/>
      <c r="F16" s="2"/>
      <c r="G16" s="2"/>
      <c r="H16" s="2"/>
      <c r="I16" s="2"/>
      <c r="J16" s="2"/>
      <c r="K16" s="1"/>
      <c r="L16" s="1"/>
      <c r="M16" s="1"/>
      <c r="N16" s="1"/>
      <c r="O16" s="1"/>
    </row>
    <row r="17" ht="15.75" customHeight="1">
      <c r="A17" s="13">
        <v>7.0</v>
      </c>
      <c r="B17" s="11" t="s">
        <v>7</v>
      </c>
      <c r="C17" s="14">
        <v>4100.0</v>
      </c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</row>
    <row r="18" ht="15.75" customHeight="1">
      <c r="A18" s="13">
        <v>7.0</v>
      </c>
      <c r="B18" s="11" t="s">
        <v>4</v>
      </c>
      <c r="C18" s="14">
        <v>757.0</v>
      </c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</row>
    <row r="19" ht="15.75" customHeight="1">
      <c r="A19" s="13"/>
      <c r="B19" s="11" t="s">
        <v>9</v>
      </c>
      <c r="C19" s="14">
        <v>503.0</v>
      </c>
      <c r="D19" s="2"/>
      <c r="E19" s="2"/>
      <c r="F19" s="2"/>
      <c r="G19" s="2"/>
      <c r="H19" s="2"/>
      <c r="I19" s="2"/>
      <c r="J19" s="2"/>
      <c r="K19" s="1"/>
      <c r="L19" s="1"/>
      <c r="M19" s="1"/>
      <c r="N19" s="1"/>
      <c r="O19" s="1"/>
    </row>
    <row r="20" ht="15.75" customHeight="1">
      <c r="A20" s="13"/>
      <c r="B20" s="11" t="s">
        <v>10</v>
      </c>
      <c r="C20" s="14">
        <v>39.0</v>
      </c>
      <c r="D20" s="2"/>
      <c r="E20" s="2"/>
      <c r="F20" s="2"/>
      <c r="G20" s="2"/>
      <c r="H20" s="2"/>
      <c r="I20" s="2"/>
      <c r="J20" s="2"/>
      <c r="K20" s="1"/>
      <c r="L20" s="1"/>
      <c r="M20" s="1"/>
      <c r="N20" s="1"/>
      <c r="O20" s="1"/>
    </row>
    <row r="21" ht="15.75" customHeight="1">
      <c r="A21" s="13">
        <v>7.0</v>
      </c>
      <c r="B21" s="11" t="s">
        <v>3</v>
      </c>
      <c r="C21" s="14">
        <v>1.0</v>
      </c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5.75" customHeight="1">
      <c r="A22" s="13">
        <v>7.0</v>
      </c>
      <c r="B22" s="15" t="s">
        <v>6</v>
      </c>
      <c r="C22" s="14" t="s">
        <v>14</v>
      </c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A23" s="13"/>
      <c r="B23" s="1"/>
      <c r="C23" s="2"/>
      <c r="D23" s="2"/>
      <c r="E23" s="2"/>
      <c r="F23" s="2"/>
      <c r="G23" s="2"/>
      <c r="H23" s="2"/>
      <c r="I23" s="2"/>
      <c r="J23" s="2"/>
      <c r="K23" s="1"/>
      <c r="L23" s="1"/>
      <c r="M23" s="1"/>
      <c r="N23" s="1"/>
      <c r="O23" s="1"/>
    </row>
    <row r="24" ht="15.75" customHeight="1">
      <c r="B24" s="16" t="s">
        <v>15</v>
      </c>
      <c r="C24" s="17"/>
      <c r="D24" s="17"/>
      <c r="E24" s="17"/>
      <c r="F24" s="17"/>
      <c r="G24" s="17"/>
      <c r="H24" s="17"/>
      <c r="I24" s="18"/>
      <c r="J24" s="18"/>
      <c r="K24" s="1"/>
      <c r="L24" s="1"/>
      <c r="M24" s="1"/>
      <c r="N24" s="1"/>
      <c r="O24" s="1"/>
    </row>
    <row r="25" ht="21.0" customHeight="1">
      <c r="B25" s="6" t="s">
        <v>1</v>
      </c>
      <c r="C25" s="6" t="s">
        <v>12</v>
      </c>
      <c r="D25" s="19" t="s">
        <v>85</v>
      </c>
      <c r="E25" s="72" t="s">
        <v>86</v>
      </c>
      <c r="F25" s="19" t="s">
        <v>87</v>
      </c>
      <c r="G25" s="73" t="s">
        <v>88</v>
      </c>
      <c r="H25" s="19" t="s">
        <v>2</v>
      </c>
      <c r="I25" s="1"/>
      <c r="J25" s="1"/>
      <c r="K25" s="1"/>
      <c r="L25" s="1"/>
      <c r="M25" s="1"/>
      <c r="N25" s="1"/>
      <c r="O25" s="1"/>
    </row>
    <row r="26" ht="15.75" customHeight="1">
      <c r="A26" s="8"/>
      <c r="B26" s="11" t="s">
        <v>9</v>
      </c>
      <c r="C26" s="14">
        <v>969.0</v>
      </c>
      <c r="D26" s="14">
        <v>8.0</v>
      </c>
      <c r="E26" s="74">
        <f t="shared" ref="E26:E33" si="2">C26/D26</f>
        <v>121.125</v>
      </c>
      <c r="F26" s="14">
        <v>5.0</v>
      </c>
      <c r="G26" s="75">
        <f t="shared" ref="G26:G33" si="3">F26/C26</f>
        <v>0.00515995872</v>
      </c>
      <c r="H26" s="22">
        <f t="shared" ref="H26:H33" si="4">E26*G26</f>
        <v>0.625</v>
      </c>
      <c r="I26" s="1" t="s">
        <v>89</v>
      </c>
      <c r="J26" s="1"/>
      <c r="K26" s="1"/>
      <c r="L26" s="1"/>
      <c r="M26" s="1"/>
      <c r="N26" s="1"/>
      <c r="O26" s="1"/>
    </row>
    <row r="27" ht="15.75" customHeight="1">
      <c r="A27" s="8"/>
      <c r="B27" s="11" t="s">
        <v>5</v>
      </c>
      <c r="C27" s="14">
        <v>1089.0</v>
      </c>
      <c r="D27" s="14">
        <v>5.0</v>
      </c>
      <c r="E27" s="74">
        <f t="shared" si="2"/>
        <v>217.8</v>
      </c>
      <c r="F27" s="14">
        <v>3.0</v>
      </c>
      <c r="G27" s="75">
        <f t="shared" si="3"/>
        <v>0.002754820937</v>
      </c>
      <c r="H27" s="22">
        <f t="shared" si="4"/>
        <v>0.6</v>
      </c>
      <c r="I27" s="1" t="s">
        <v>90</v>
      </c>
      <c r="J27" s="1"/>
      <c r="K27" s="1"/>
      <c r="L27" s="1"/>
      <c r="M27" s="1"/>
      <c r="N27" s="1"/>
      <c r="O27" s="1"/>
    </row>
    <row r="28" ht="15.75" customHeight="1">
      <c r="A28" s="8"/>
      <c r="B28" s="11" t="s">
        <v>7</v>
      </c>
      <c r="C28" s="14">
        <v>1908.0</v>
      </c>
      <c r="D28" s="14">
        <v>18.0</v>
      </c>
      <c r="E28" s="74">
        <f t="shared" si="2"/>
        <v>106</v>
      </c>
      <c r="F28" s="14">
        <v>6.5</v>
      </c>
      <c r="G28" s="75">
        <f t="shared" si="3"/>
        <v>0.003406708595</v>
      </c>
      <c r="H28" s="22">
        <f t="shared" si="4"/>
        <v>0.3611111111</v>
      </c>
      <c r="I28" s="1" t="s">
        <v>91</v>
      </c>
      <c r="J28" s="1"/>
      <c r="K28" s="1"/>
      <c r="L28" s="1"/>
      <c r="M28" s="1"/>
      <c r="N28" s="1"/>
      <c r="O28" s="1"/>
    </row>
    <row r="29" ht="15.75" customHeight="1">
      <c r="A29" s="8"/>
      <c r="B29" s="11" t="s">
        <v>6</v>
      </c>
      <c r="C29" s="14">
        <v>2347.0</v>
      </c>
      <c r="D29" s="14">
        <v>22.0</v>
      </c>
      <c r="E29" s="74">
        <f t="shared" si="2"/>
        <v>106.6818182</v>
      </c>
      <c r="F29" s="14">
        <v>2.5</v>
      </c>
      <c r="G29" s="75">
        <f t="shared" si="3"/>
        <v>0.001065189604</v>
      </c>
      <c r="H29" s="22">
        <f t="shared" si="4"/>
        <v>0.1136363636</v>
      </c>
      <c r="I29" s="1" t="s">
        <v>89</v>
      </c>
      <c r="J29" s="1"/>
      <c r="K29" s="1"/>
      <c r="L29" s="1"/>
      <c r="M29" s="1"/>
      <c r="N29" s="1"/>
      <c r="O29" s="1"/>
    </row>
    <row r="30" ht="15.75" customHeight="1">
      <c r="A30" s="8"/>
      <c r="B30" s="11" t="s">
        <v>8</v>
      </c>
      <c r="C30" s="14">
        <v>3617.0</v>
      </c>
      <c r="D30" s="14">
        <v>18.0</v>
      </c>
      <c r="E30" s="74">
        <f t="shared" si="2"/>
        <v>200.9444444</v>
      </c>
      <c r="F30" s="14">
        <v>0.0</v>
      </c>
      <c r="G30" s="75">
        <f t="shared" si="3"/>
        <v>0</v>
      </c>
      <c r="H30" s="22">
        <f t="shared" si="4"/>
        <v>0</v>
      </c>
      <c r="I30" s="1" t="s">
        <v>92</v>
      </c>
      <c r="J30" s="1"/>
      <c r="K30" s="1"/>
      <c r="L30" s="1"/>
      <c r="M30" s="1"/>
      <c r="N30" s="1"/>
      <c r="O30" s="1"/>
    </row>
    <row r="31" ht="15.75" customHeight="1">
      <c r="A31" s="8"/>
      <c r="B31" s="11" t="s">
        <v>4</v>
      </c>
      <c r="C31" s="14">
        <v>728.0</v>
      </c>
      <c r="D31" s="14">
        <v>5.0</v>
      </c>
      <c r="E31" s="74">
        <f t="shared" si="2"/>
        <v>145.6</v>
      </c>
      <c r="F31" s="14">
        <v>0.0</v>
      </c>
      <c r="G31" s="75">
        <f t="shared" si="3"/>
        <v>0</v>
      </c>
      <c r="H31" s="22">
        <f t="shared" si="4"/>
        <v>0</v>
      </c>
      <c r="I31" s="1" t="s">
        <v>92</v>
      </c>
      <c r="J31" s="1"/>
      <c r="K31" s="1"/>
      <c r="L31" s="1"/>
      <c r="M31" s="1"/>
      <c r="N31" s="1"/>
      <c r="O31" s="1"/>
    </row>
    <row r="32" ht="15.75" customHeight="1">
      <c r="A32" s="8"/>
      <c r="B32" s="11" t="s">
        <v>10</v>
      </c>
      <c r="C32" s="14">
        <v>380.0</v>
      </c>
      <c r="D32" s="14">
        <v>2.0</v>
      </c>
      <c r="E32" s="74">
        <f t="shared" si="2"/>
        <v>190</v>
      </c>
      <c r="F32" s="14">
        <v>0.0</v>
      </c>
      <c r="G32" s="75">
        <f t="shared" si="3"/>
        <v>0</v>
      </c>
      <c r="H32" s="22">
        <f t="shared" si="4"/>
        <v>0</v>
      </c>
      <c r="I32" s="1" t="s">
        <v>92</v>
      </c>
      <c r="J32" s="1"/>
      <c r="K32" s="1"/>
      <c r="L32" s="1"/>
      <c r="M32" s="1"/>
      <c r="N32" s="1"/>
      <c r="O32" s="1"/>
    </row>
    <row r="33" ht="15.75" customHeight="1">
      <c r="A33" s="8"/>
      <c r="B33" s="11" t="s">
        <v>3</v>
      </c>
      <c r="C33" s="14">
        <v>334.0</v>
      </c>
      <c r="D33" s="35">
        <v>6.0</v>
      </c>
      <c r="E33" s="74">
        <f t="shared" si="2"/>
        <v>55.66666667</v>
      </c>
      <c r="F33" s="35">
        <v>0.0</v>
      </c>
      <c r="G33" s="75">
        <f t="shared" si="3"/>
        <v>0</v>
      </c>
      <c r="H33" s="22">
        <f t="shared" si="4"/>
        <v>0</v>
      </c>
      <c r="I33" s="1" t="s">
        <v>92</v>
      </c>
      <c r="J33" s="1"/>
      <c r="K33" s="1"/>
      <c r="L33" s="1"/>
      <c r="M33" s="1"/>
      <c r="N33" s="1"/>
      <c r="O33" s="1"/>
    </row>
    <row r="34" ht="15.75" customHeight="1">
      <c r="A34" s="8"/>
      <c r="B34" s="1"/>
      <c r="C34" s="2"/>
      <c r="D34" s="2"/>
      <c r="E34" s="2"/>
      <c r="F34" s="2"/>
      <c r="G34" s="2"/>
      <c r="H34" s="2"/>
      <c r="I34" s="2"/>
      <c r="J34" s="2"/>
      <c r="K34" s="1"/>
      <c r="L34" s="1"/>
      <c r="M34" s="1"/>
      <c r="N34" s="1"/>
      <c r="O34" s="1"/>
    </row>
    <row r="35" ht="15.75" customHeight="1">
      <c r="B35" s="23" t="s">
        <v>16</v>
      </c>
      <c r="C35" s="65"/>
      <c r="D35" s="65"/>
      <c r="E35" s="65"/>
      <c r="F35" s="65"/>
      <c r="G35" s="65"/>
      <c r="H35" s="24"/>
      <c r="I35" s="25"/>
      <c r="J35" s="25"/>
      <c r="K35" s="1"/>
      <c r="L35" s="1"/>
      <c r="M35" s="1"/>
      <c r="N35" s="1"/>
      <c r="O35" s="1"/>
    </row>
    <row r="36" ht="28.5" customHeight="1">
      <c r="A36" s="26"/>
      <c r="B36" s="27" t="s">
        <v>1</v>
      </c>
      <c r="C36" s="27" t="s">
        <v>93</v>
      </c>
      <c r="D36" s="27" t="s">
        <v>94</v>
      </c>
      <c r="E36" s="27" t="s">
        <v>95</v>
      </c>
      <c r="F36" s="27" t="s">
        <v>84</v>
      </c>
      <c r="G36" s="27" t="s">
        <v>2</v>
      </c>
      <c r="H36" s="28"/>
      <c r="I36" s="28"/>
      <c r="J36" s="28"/>
      <c r="K36" s="1"/>
      <c r="L36" s="1"/>
      <c r="M36" s="1"/>
      <c r="N36" s="29"/>
      <c r="O36" s="29"/>
    </row>
    <row r="37" ht="15.75" customHeight="1">
      <c r="A37" s="8"/>
      <c r="B37" s="11" t="s">
        <v>7</v>
      </c>
      <c r="C37" s="14">
        <v>33500.0</v>
      </c>
      <c r="D37" s="35">
        <v>0.0</v>
      </c>
      <c r="E37" s="14">
        <v>0.0</v>
      </c>
      <c r="F37" s="76">
        <v>0.0</v>
      </c>
      <c r="G37" s="22">
        <f t="shared" ref="G37:G42" si="5">F37/C37</f>
        <v>0</v>
      </c>
      <c r="H37" s="1"/>
      <c r="I37" s="1"/>
      <c r="J37" s="1"/>
      <c r="K37" s="1"/>
      <c r="L37" s="1"/>
      <c r="M37" s="1"/>
      <c r="N37" s="29"/>
      <c r="O37" s="29"/>
    </row>
    <row r="38" ht="15.75" customHeight="1">
      <c r="A38" s="8"/>
      <c r="B38" s="11" t="s">
        <v>8</v>
      </c>
      <c r="C38" s="14">
        <v>3100.0</v>
      </c>
      <c r="D38" s="35">
        <v>0.0</v>
      </c>
      <c r="E38" s="14">
        <v>0.0</v>
      </c>
      <c r="F38" s="76">
        <v>0.0</v>
      </c>
      <c r="G38" s="22">
        <f t="shared" si="5"/>
        <v>0</v>
      </c>
      <c r="H38" s="1"/>
      <c r="I38" s="1"/>
      <c r="J38" s="1"/>
      <c r="K38" s="1"/>
      <c r="L38" s="1"/>
      <c r="M38" s="1"/>
      <c r="N38" s="29"/>
      <c r="O38" s="29"/>
    </row>
    <row r="39" ht="15.75" customHeight="1">
      <c r="A39" s="8"/>
      <c r="B39" s="11" t="s">
        <v>5</v>
      </c>
      <c r="C39" s="14">
        <v>178.0</v>
      </c>
      <c r="D39" s="35">
        <v>0.0</v>
      </c>
      <c r="E39" s="14">
        <v>0.0</v>
      </c>
      <c r="F39" s="76">
        <v>0.0</v>
      </c>
      <c r="G39" s="22">
        <f t="shared" si="5"/>
        <v>0</v>
      </c>
      <c r="H39" s="1"/>
      <c r="I39" s="1"/>
      <c r="J39" s="1"/>
      <c r="K39" s="1"/>
      <c r="L39" s="1"/>
      <c r="M39" s="1"/>
      <c r="N39" s="29"/>
      <c r="O39" s="29"/>
    </row>
    <row r="40" ht="15.75" customHeight="1">
      <c r="A40" s="8"/>
      <c r="B40" s="11" t="s">
        <v>4</v>
      </c>
      <c r="C40" s="14">
        <v>25.0</v>
      </c>
      <c r="D40" s="35">
        <v>0.0</v>
      </c>
      <c r="E40" s="77">
        <v>0.0</v>
      </c>
      <c r="F40" s="76">
        <v>0.0</v>
      </c>
      <c r="G40" s="22">
        <f t="shared" si="5"/>
        <v>0</v>
      </c>
      <c r="H40" s="1"/>
      <c r="I40" s="1"/>
      <c r="J40" s="1"/>
      <c r="K40" s="1"/>
      <c r="L40" s="1"/>
      <c r="M40" s="1"/>
      <c r="N40" s="29"/>
      <c r="O40" s="29"/>
    </row>
    <row r="41" ht="15.75" customHeight="1">
      <c r="B41" s="11" t="s">
        <v>10</v>
      </c>
      <c r="C41" s="14">
        <v>10.0</v>
      </c>
      <c r="D41" s="35">
        <v>0.0</v>
      </c>
      <c r="E41" s="77">
        <v>0.0</v>
      </c>
      <c r="F41" s="76">
        <v>0.0</v>
      </c>
      <c r="G41" s="22">
        <f t="shared" si="5"/>
        <v>0</v>
      </c>
      <c r="H41" s="1"/>
      <c r="I41" s="1"/>
      <c r="J41" s="1"/>
      <c r="K41" s="1"/>
      <c r="L41" s="1"/>
      <c r="M41" s="1"/>
      <c r="N41" s="29"/>
      <c r="O41" s="29"/>
    </row>
    <row r="42" ht="15.75" customHeight="1">
      <c r="A42" s="8"/>
      <c r="B42" s="11" t="s">
        <v>3</v>
      </c>
      <c r="C42" s="14">
        <v>5.0</v>
      </c>
      <c r="D42" s="35">
        <v>0.0</v>
      </c>
      <c r="E42" s="14">
        <v>0.0</v>
      </c>
      <c r="F42" s="76">
        <v>0.0</v>
      </c>
      <c r="G42" s="22">
        <f t="shared" si="5"/>
        <v>0</v>
      </c>
      <c r="H42" s="1"/>
      <c r="I42" s="1"/>
      <c r="J42" s="1"/>
      <c r="K42" s="1"/>
      <c r="L42" s="1"/>
      <c r="M42" s="1"/>
      <c r="N42" s="29"/>
      <c r="O42" s="29"/>
    </row>
    <row r="43" ht="15.75" customHeight="1">
      <c r="A43" s="8"/>
      <c r="B43" s="30" t="s">
        <v>96</v>
      </c>
      <c r="C43" s="14" t="s">
        <v>14</v>
      </c>
      <c r="D43" s="35" t="s">
        <v>14</v>
      </c>
      <c r="E43" s="14" t="s">
        <v>14</v>
      </c>
      <c r="F43" s="14" t="s">
        <v>14</v>
      </c>
      <c r="G43" s="14" t="s">
        <v>14</v>
      </c>
      <c r="H43" s="1"/>
      <c r="I43" s="1"/>
      <c r="J43" s="1"/>
      <c r="K43" s="1"/>
      <c r="L43" s="1"/>
      <c r="M43" s="1"/>
      <c r="N43" s="29"/>
      <c r="O43" s="29"/>
    </row>
    <row r="44" ht="15.75" customHeight="1">
      <c r="B44" s="30" t="s">
        <v>97</v>
      </c>
      <c r="C44" s="14" t="s">
        <v>14</v>
      </c>
      <c r="D44" s="35" t="s">
        <v>14</v>
      </c>
      <c r="E44" s="14" t="s">
        <v>14</v>
      </c>
      <c r="F44" s="14" t="s">
        <v>14</v>
      </c>
      <c r="G44" s="14" t="s">
        <v>14</v>
      </c>
      <c r="H44" s="1"/>
      <c r="I44" s="1"/>
      <c r="J44" s="1"/>
      <c r="K44" s="1"/>
      <c r="L44" s="1"/>
      <c r="M44" s="1"/>
      <c r="N44" s="29"/>
      <c r="O44" s="29"/>
    </row>
    <row r="45" ht="15.75" customHeight="1">
      <c r="B45" s="1"/>
      <c r="C45" s="78"/>
      <c r="D45" s="79"/>
      <c r="E45" s="79"/>
      <c r="F45" s="79"/>
      <c r="G45" s="78"/>
      <c r="H45" s="2"/>
      <c r="I45" s="2"/>
      <c r="J45" s="2"/>
      <c r="K45" s="1"/>
      <c r="L45" s="1"/>
      <c r="M45" s="1"/>
      <c r="N45" s="1"/>
      <c r="O45" s="1"/>
    </row>
  </sheetData>
  <mergeCells count="4">
    <mergeCell ref="B2:E2"/>
    <mergeCell ref="B13:C13"/>
    <mergeCell ref="B24:H24"/>
    <mergeCell ref="B35:G35"/>
  </mergeCells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7"/>
    <hyperlink r:id="rId26" ref="B38"/>
    <hyperlink r:id="rId27" ref="B39"/>
    <hyperlink r:id="rId28" ref="B40"/>
    <hyperlink r:id="rId29" ref="E40"/>
    <hyperlink r:id="rId30" ref="B41"/>
    <hyperlink r:id="rId31" ref="E41"/>
    <hyperlink r:id="rId32" ref="B42"/>
  </hyperlinks>
  <printOptions/>
  <pageMargins bottom="0.787401575" footer="0.0" header="0.0" left="0.511811024" right="0.511811024" top="0.787401575"/>
  <pageSetup orientation="landscape"/>
  <drawing r:id="rId3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8.0"/>
    <col customWidth="1" min="3" max="6" width="10.0"/>
    <col customWidth="1" min="7" max="7" width="10.22"/>
    <col customWidth="1" min="8" max="8" width="10.0"/>
    <col customWidth="1" min="9" max="9" width="9.89"/>
    <col customWidth="1" min="10" max="12" width="10.44"/>
    <col customWidth="1" min="13" max="13" width="11.44"/>
    <col customWidth="1" min="14" max="14" width="10.44"/>
    <col customWidth="1" min="15" max="15" width="5.33"/>
  </cols>
  <sheetData>
    <row r="1" ht="10.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75" customHeight="1">
      <c r="B2" s="80" t="s">
        <v>22</v>
      </c>
      <c r="C2" s="5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5.75" customHeight="1">
      <c r="B3" s="6" t="s">
        <v>1</v>
      </c>
      <c r="C3" s="6" t="s">
        <v>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5.75" customHeight="1">
      <c r="A4" s="8"/>
      <c r="B4" s="34" t="s">
        <v>98</v>
      </c>
      <c r="C4" s="35">
        <v>79.0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15.75" customHeight="1">
      <c r="A5" s="8"/>
      <c r="B5" s="34" t="s">
        <v>99</v>
      </c>
      <c r="C5" s="35">
        <v>75.0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15.75" customHeight="1">
      <c r="B6" s="11" t="s">
        <v>5</v>
      </c>
      <c r="C6" s="35">
        <v>72.0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ht="15.75" customHeight="1">
      <c r="A7" s="8"/>
      <c r="B7" s="11" t="s">
        <v>4</v>
      </c>
      <c r="C7" s="35">
        <v>71.0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5.75" customHeight="1">
      <c r="A8" s="8"/>
      <c r="B8" s="34" t="s">
        <v>100</v>
      </c>
      <c r="C8" s="35">
        <v>71.0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ht="15.75" customHeight="1">
      <c r="B9" s="34" t="s">
        <v>101</v>
      </c>
      <c r="C9" s="35">
        <v>66.0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ht="15.75" customHeight="1">
      <c r="B10" s="34" t="s">
        <v>102</v>
      </c>
      <c r="C10" s="35">
        <v>57.0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ht="15.75" customHeight="1">
      <c r="A11" s="8"/>
      <c r="B11" s="34" t="s">
        <v>103</v>
      </c>
      <c r="C11" s="35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ht="15.7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15.75" customHeight="1">
      <c r="B13" s="81" t="s">
        <v>30</v>
      </c>
      <c r="C13" s="65"/>
      <c r="D13" s="65"/>
      <c r="E13" s="5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15.75" customHeight="1">
      <c r="B14" s="6" t="s">
        <v>1</v>
      </c>
      <c r="C14" s="6" t="s">
        <v>104</v>
      </c>
      <c r="D14" s="6" t="s">
        <v>105</v>
      </c>
      <c r="E14" s="37" t="s">
        <v>31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5.75" customHeight="1">
      <c r="B15" s="34" t="s">
        <v>106</v>
      </c>
      <c r="C15" s="35">
        <v>68.0</v>
      </c>
      <c r="D15" s="35">
        <v>94.0</v>
      </c>
      <c r="E15" s="82">
        <f t="shared" ref="E15:E22" si="1">SUM(D15,C15)/2</f>
        <v>81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15.75" customHeight="1">
      <c r="B16" s="11" t="s">
        <v>4</v>
      </c>
      <c r="C16" s="35">
        <v>68.0</v>
      </c>
      <c r="D16" s="35">
        <v>86.0</v>
      </c>
      <c r="E16" s="82">
        <f t="shared" si="1"/>
        <v>77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15.75" customHeight="1">
      <c r="B17" s="34" t="s">
        <v>107</v>
      </c>
      <c r="C17" s="35">
        <v>57.0</v>
      </c>
      <c r="D17" s="35">
        <v>89.0</v>
      </c>
      <c r="E17" s="82">
        <f t="shared" si="1"/>
        <v>73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15.75" customHeight="1">
      <c r="B18" s="34" t="s">
        <v>108</v>
      </c>
      <c r="C18" s="35">
        <v>77.0</v>
      </c>
      <c r="D18" s="35">
        <v>60.0</v>
      </c>
      <c r="E18" s="82">
        <f t="shared" si="1"/>
        <v>68.5</v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.75" customHeight="1">
      <c r="B19" s="34" t="s">
        <v>109</v>
      </c>
      <c r="C19" s="35">
        <v>35.0</v>
      </c>
      <c r="D19" s="35">
        <v>78.0</v>
      </c>
      <c r="E19" s="82">
        <f t="shared" si="1"/>
        <v>56.5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0" ht="15.75" customHeight="1">
      <c r="B20" s="34" t="s">
        <v>110</v>
      </c>
      <c r="C20" s="35">
        <v>46.0</v>
      </c>
      <c r="D20" s="35">
        <v>66.0</v>
      </c>
      <c r="E20" s="82">
        <f t="shared" si="1"/>
        <v>56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15.75" customHeight="1">
      <c r="B21" s="11" t="s">
        <v>5</v>
      </c>
      <c r="C21" s="35">
        <v>34.0</v>
      </c>
      <c r="D21" s="35">
        <v>48.0</v>
      </c>
      <c r="E21" s="82">
        <f t="shared" si="1"/>
        <v>41</v>
      </c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5.75" customHeight="1">
      <c r="B22" s="34" t="s">
        <v>111</v>
      </c>
      <c r="C22" s="35">
        <v>36.0</v>
      </c>
      <c r="D22" s="35">
        <v>21.0</v>
      </c>
      <c r="E22" s="82">
        <f t="shared" si="1"/>
        <v>28.5</v>
      </c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5.75" customHeight="1">
      <c r="B24" s="50" t="s">
        <v>38</v>
      </c>
      <c r="C24" s="65"/>
      <c r="D24" s="65"/>
      <c r="E24" s="65"/>
      <c r="F24" s="51"/>
      <c r="G24" s="1"/>
      <c r="H24" s="1"/>
      <c r="I24" s="1"/>
      <c r="J24" s="1"/>
      <c r="K24" s="1"/>
      <c r="L24" s="1"/>
      <c r="M24" s="1"/>
      <c r="N24" s="1"/>
      <c r="O24" s="1"/>
    </row>
    <row r="25" ht="15.75" customHeight="1">
      <c r="A25" s="13">
        <v>5.0</v>
      </c>
      <c r="B25" s="6" t="s">
        <v>1</v>
      </c>
      <c r="C25" s="6" t="s">
        <v>112</v>
      </c>
      <c r="D25" s="6" t="s">
        <v>113</v>
      </c>
      <c r="E25" s="6" t="s">
        <v>114</v>
      </c>
      <c r="F25" s="6" t="s">
        <v>2</v>
      </c>
      <c r="G25" s="1"/>
      <c r="H25" s="1"/>
      <c r="I25" s="1"/>
      <c r="J25" s="1"/>
      <c r="K25" s="1"/>
      <c r="L25" s="1"/>
      <c r="M25" s="1"/>
      <c r="N25" s="1"/>
      <c r="O25" s="1"/>
    </row>
    <row r="26" ht="15.75" customHeight="1">
      <c r="A26" s="8"/>
      <c r="B26" s="11" t="s">
        <v>4</v>
      </c>
      <c r="C26" s="35">
        <v>4.9</v>
      </c>
      <c r="D26" s="83">
        <f t="shared" ref="D26:D32" si="2">C26/$A$25</f>
        <v>0.98</v>
      </c>
      <c r="E26" s="35">
        <v>165.0</v>
      </c>
      <c r="F26" s="41">
        <f t="shared" ref="F26:F32" si="3">D26*E26</f>
        <v>161.7</v>
      </c>
      <c r="G26" s="1"/>
      <c r="H26" s="1"/>
      <c r="I26" s="1"/>
      <c r="J26" s="1"/>
      <c r="K26" s="1"/>
      <c r="L26" s="1"/>
      <c r="M26" s="1"/>
      <c r="N26" s="1"/>
      <c r="O26" s="1"/>
    </row>
    <row r="27" ht="15.75" customHeight="1">
      <c r="A27" s="8"/>
      <c r="B27" s="11" t="s">
        <v>8</v>
      </c>
      <c r="C27" s="35">
        <v>4.1</v>
      </c>
      <c r="D27" s="83">
        <f t="shared" si="2"/>
        <v>0.82</v>
      </c>
      <c r="E27" s="35">
        <v>32.0</v>
      </c>
      <c r="F27" s="41">
        <f t="shared" si="3"/>
        <v>26.24</v>
      </c>
      <c r="G27" s="1"/>
      <c r="H27" s="1"/>
      <c r="I27" s="1"/>
      <c r="J27" s="1"/>
      <c r="K27" s="1"/>
      <c r="L27" s="1"/>
      <c r="M27" s="1"/>
      <c r="N27" s="1"/>
      <c r="O27" s="1"/>
    </row>
    <row r="28" ht="15.75" customHeight="1">
      <c r="B28" s="11" t="s">
        <v>5</v>
      </c>
      <c r="C28" s="35">
        <v>5.0</v>
      </c>
      <c r="D28" s="83">
        <f t="shared" si="2"/>
        <v>1</v>
      </c>
      <c r="E28" s="35">
        <v>25.0</v>
      </c>
      <c r="F28" s="41">
        <f t="shared" si="3"/>
        <v>25</v>
      </c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8"/>
      <c r="B29" s="11" t="s">
        <v>6</v>
      </c>
      <c r="C29" s="35">
        <v>5.0</v>
      </c>
      <c r="D29" s="83">
        <f t="shared" si="2"/>
        <v>1</v>
      </c>
      <c r="E29" s="35">
        <v>17.0</v>
      </c>
      <c r="F29" s="41">
        <f t="shared" si="3"/>
        <v>17</v>
      </c>
      <c r="G29" s="1"/>
      <c r="H29" s="1"/>
      <c r="I29" s="1"/>
      <c r="J29" s="1"/>
      <c r="K29" s="1"/>
      <c r="L29" s="1"/>
      <c r="M29" s="1"/>
      <c r="N29" s="1"/>
      <c r="O29" s="1"/>
    </row>
    <row r="30" ht="15.75" customHeight="1">
      <c r="A30" s="8"/>
      <c r="B30" s="11" t="s">
        <v>3</v>
      </c>
      <c r="C30" s="35">
        <v>5.0</v>
      </c>
      <c r="D30" s="83">
        <f t="shared" si="2"/>
        <v>1</v>
      </c>
      <c r="E30" s="35">
        <v>6.0</v>
      </c>
      <c r="F30" s="41">
        <f t="shared" si="3"/>
        <v>6</v>
      </c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B31" s="11" t="s">
        <v>7</v>
      </c>
      <c r="C31" s="35">
        <v>3.7</v>
      </c>
      <c r="D31" s="83">
        <f t="shared" si="2"/>
        <v>0.74</v>
      </c>
      <c r="E31" s="35">
        <v>6.0</v>
      </c>
      <c r="F31" s="41">
        <f t="shared" si="3"/>
        <v>4.44</v>
      </c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A32" s="8"/>
      <c r="B32" s="11" t="s">
        <v>9</v>
      </c>
      <c r="C32" s="35">
        <v>0.0</v>
      </c>
      <c r="D32" s="83">
        <f t="shared" si="2"/>
        <v>0</v>
      </c>
      <c r="E32" s="35">
        <v>0.0</v>
      </c>
      <c r="F32" s="41">
        <f t="shared" si="3"/>
        <v>0</v>
      </c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8"/>
      <c r="B33" s="30" t="s">
        <v>115</v>
      </c>
      <c r="C33" s="35" t="s">
        <v>14</v>
      </c>
      <c r="D33" s="83">
        <v>0.0</v>
      </c>
      <c r="E33" s="35" t="s">
        <v>14</v>
      </c>
      <c r="F33" s="41">
        <v>0.0</v>
      </c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B35" s="37" t="s">
        <v>40</v>
      </c>
      <c r="C35" s="37" t="s">
        <v>23</v>
      </c>
      <c r="D35" s="37" t="s">
        <v>41</v>
      </c>
      <c r="E35" s="37" t="s">
        <v>42</v>
      </c>
      <c r="F35" s="84" t="s">
        <v>43</v>
      </c>
      <c r="G35" s="84" t="s">
        <v>44</v>
      </c>
      <c r="H35" s="84" t="s">
        <v>45</v>
      </c>
      <c r="I35" s="85" t="s">
        <v>46</v>
      </c>
      <c r="J35" s="1"/>
      <c r="K35" s="1"/>
      <c r="L35" s="1"/>
      <c r="M35" s="1"/>
      <c r="N35" s="1"/>
      <c r="O35" s="1"/>
    </row>
    <row r="36" ht="15.75" customHeight="1">
      <c r="B36" s="37">
        <v>8.0</v>
      </c>
      <c r="C36" s="34" t="s">
        <v>116</v>
      </c>
      <c r="D36" s="34" t="s">
        <v>117</v>
      </c>
      <c r="E36" s="11" t="s">
        <v>4</v>
      </c>
      <c r="F36" s="9" t="s">
        <v>3</v>
      </c>
      <c r="G36" s="9" t="s">
        <v>13</v>
      </c>
      <c r="H36" s="11" t="s">
        <v>9</v>
      </c>
      <c r="I36" s="11" t="s">
        <v>7</v>
      </c>
      <c r="J36" s="86"/>
      <c r="K36" s="1"/>
      <c r="L36" s="1"/>
      <c r="M36" s="1"/>
      <c r="N36" s="1"/>
      <c r="O36" s="1"/>
    </row>
    <row r="37" ht="15.75" customHeight="1">
      <c r="B37" s="37">
        <v>7.0</v>
      </c>
      <c r="C37" s="34" t="s">
        <v>118</v>
      </c>
      <c r="D37" s="11" t="s">
        <v>4</v>
      </c>
      <c r="E37" s="11" t="s">
        <v>8</v>
      </c>
      <c r="F37" s="11" t="s">
        <v>4</v>
      </c>
      <c r="G37" s="11" t="s">
        <v>8</v>
      </c>
      <c r="H37" s="11" t="s">
        <v>5</v>
      </c>
      <c r="I37" s="11" t="s">
        <v>8</v>
      </c>
      <c r="J37" s="86"/>
      <c r="K37" s="1"/>
      <c r="L37" s="1"/>
      <c r="M37" s="1"/>
      <c r="N37" s="1"/>
      <c r="O37" s="1"/>
    </row>
    <row r="38" ht="15.75" customHeight="1">
      <c r="B38" s="37">
        <v>6.0</v>
      </c>
      <c r="C38" s="11" t="s">
        <v>5</v>
      </c>
      <c r="D38" s="34" t="s">
        <v>119</v>
      </c>
      <c r="E38" s="11" t="s">
        <v>5</v>
      </c>
      <c r="F38" s="9" t="s">
        <v>5</v>
      </c>
      <c r="G38" s="11" t="s">
        <v>7</v>
      </c>
      <c r="H38" s="11" t="s">
        <v>7</v>
      </c>
      <c r="I38" s="11" t="s">
        <v>5</v>
      </c>
      <c r="J38" s="86"/>
      <c r="K38" s="1"/>
      <c r="L38" s="1"/>
      <c r="M38" s="1"/>
      <c r="N38" s="1"/>
      <c r="O38" s="1"/>
    </row>
    <row r="39" ht="15.75" customHeight="1">
      <c r="B39" s="37">
        <v>5.0</v>
      </c>
      <c r="C39" s="11" t="s">
        <v>4</v>
      </c>
      <c r="D39" s="34" t="s">
        <v>120</v>
      </c>
      <c r="E39" s="11" t="s">
        <v>6</v>
      </c>
      <c r="F39" s="9" t="s">
        <v>6</v>
      </c>
      <c r="G39" s="11" t="s">
        <v>4</v>
      </c>
      <c r="H39" s="11" t="s">
        <v>6</v>
      </c>
      <c r="I39" s="11" t="s">
        <v>4</v>
      </c>
      <c r="J39" s="86"/>
      <c r="K39" s="1"/>
      <c r="L39" s="1"/>
      <c r="M39" s="1"/>
      <c r="N39" s="1"/>
      <c r="O39" s="1"/>
    </row>
    <row r="40" ht="15.75" customHeight="1">
      <c r="B40" s="37">
        <v>4.0</v>
      </c>
      <c r="C40" s="34" t="s">
        <v>121</v>
      </c>
      <c r="D40" s="34" t="s">
        <v>122</v>
      </c>
      <c r="E40" s="11" t="s">
        <v>3</v>
      </c>
      <c r="F40" s="9" t="s">
        <v>7</v>
      </c>
      <c r="G40" s="11" t="s">
        <v>9</v>
      </c>
      <c r="H40" s="11" t="s">
        <v>8</v>
      </c>
      <c r="I40" s="11" t="s">
        <v>10</v>
      </c>
      <c r="J40" s="86"/>
      <c r="K40" s="1"/>
      <c r="L40" s="1"/>
      <c r="M40" s="1"/>
      <c r="N40" s="1"/>
      <c r="O40" s="1"/>
    </row>
    <row r="41" ht="15.75" customHeight="1">
      <c r="B41" s="37">
        <v>3.0</v>
      </c>
      <c r="C41" s="34" t="s">
        <v>123</v>
      </c>
      <c r="D41" s="34" t="s">
        <v>124</v>
      </c>
      <c r="E41" s="11" t="s">
        <v>7</v>
      </c>
      <c r="F41" s="9" t="s">
        <v>8</v>
      </c>
      <c r="G41" s="11" t="s">
        <v>10</v>
      </c>
      <c r="H41" s="11" t="s">
        <v>4</v>
      </c>
      <c r="I41" s="11" t="s">
        <v>3</v>
      </c>
      <c r="J41" s="86"/>
      <c r="K41" s="1"/>
      <c r="L41" s="1"/>
      <c r="M41" s="1"/>
      <c r="N41" s="1"/>
      <c r="O41" s="1"/>
    </row>
    <row r="42" ht="15.75" customHeight="1">
      <c r="B42" s="37">
        <v>2.0</v>
      </c>
      <c r="C42" s="34" t="s">
        <v>125</v>
      </c>
      <c r="D42" s="11" t="s">
        <v>5</v>
      </c>
      <c r="E42" s="11" t="s">
        <v>9</v>
      </c>
      <c r="F42" s="9" t="s">
        <v>9</v>
      </c>
      <c r="G42" s="11" t="s">
        <v>3</v>
      </c>
      <c r="H42" s="11" t="s">
        <v>10</v>
      </c>
      <c r="I42" s="30" t="s">
        <v>126</v>
      </c>
      <c r="J42" s="86"/>
      <c r="K42" s="1"/>
      <c r="L42" s="1"/>
      <c r="M42" s="1"/>
      <c r="N42" s="1"/>
      <c r="O42" s="1"/>
    </row>
    <row r="43" ht="15.75" customHeight="1">
      <c r="B43" s="37">
        <v>1.0</v>
      </c>
      <c r="C43" s="34" t="s">
        <v>127</v>
      </c>
      <c r="D43" s="34" t="s">
        <v>128</v>
      </c>
      <c r="E43" s="30" t="s">
        <v>129</v>
      </c>
      <c r="F43" s="9" t="s">
        <v>10</v>
      </c>
      <c r="G43" s="15" t="s">
        <v>6</v>
      </c>
      <c r="H43" s="11" t="s">
        <v>3</v>
      </c>
      <c r="I43" s="30" t="s">
        <v>130</v>
      </c>
      <c r="J43" s="86"/>
      <c r="K43" s="1"/>
      <c r="L43" s="1"/>
      <c r="M43" s="1"/>
      <c r="N43" s="1"/>
      <c r="O43" s="1"/>
    </row>
    <row r="44" ht="15.75" customHeight="1">
      <c r="B44" s="1"/>
      <c r="C44" s="1"/>
      <c r="D44" s="1"/>
      <c r="E44" s="1"/>
      <c r="F44" s="1"/>
      <c r="G44" s="1"/>
      <c r="H44" s="87"/>
      <c r="I44" s="86"/>
      <c r="J44" s="1"/>
      <c r="K44" s="1"/>
      <c r="L44" s="1"/>
      <c r="M44" s="1"/>
      <c r="N44" s="1"/>
      <c r="O44" s="1"/>
    </row>
    <row r="45" ht="15.75" customHeight="1">
      <c r="B45" s="50" t="s">
        <v>62</v>
      </c>
      <c r="C45" s="65"/>
      <c r="D45" s="65"/>
      <c r="E45" s="65"/>
      <c r="F45" s="65"/>
      <c r="G45" s="65"/>
      <c r="H45" s="65"/>
      <c r="I45" s="65"/>
      <c r="J45" s="51"/>
      <c r="K45" s="1"/>
      <c r="L45" s="1"/>
      <c r="M45" s="1"/>
      <c r="N45" s="1"/>
      <c r="O45" s="1"/>
    </row>
    <row r="46" ht="15.75" customHeight="1">
      <c r="B46" s="37" t="s">
        <v>1</v>
      </c>
      <c r="C46" s="84" t="s">
        <v>23</v>
      </c>
      <c r="D46" s="37" t="s">
        <v>41</v>
      </c>
      <c r="E46" s="37" t="s">
        <v>42</v>
      </c>
      <c r="F46" s="84" t="s">
        <v>43</v>
      </c>
      <c r="G46" s="84" t="s">
        <v>44</v>
      </c>
      <c r="H46" s="84" t="s">
        <v>45</v>
      </c>
      <c r="I46" s="37" t="s">
        <v>46</v>
      </c>
      <c r="J46" s="37" t="s">
        <v>63</v>
      </c>
      <c r="K46" s="1"/>
      <c r="L46" s="1"/>
      <c r="M46" s="1"/>
      <c r="N46" s="1"/>
      <c r="O46" s="1"/>
    </row>
    <row r="47" ht="15.75" customHeight="1">
      <c r="A47" s="52"/>
      <c r="B47" s="9" t="s">
        <v>5</v>
      </c>
      <c r="C47" s="88">
        <v>6.0</v>
      </c>
      <c r="D47" s="88">
        <v>2.0</v>
      </c>
      <c r="E47" s="88">
        <v>6.0</v>
      </c>
      <c r="F47" s="89">
        <v>6.0</v>
      </c>
      <c r="G47" s="89">
        <v>8.0</v>
      </c>
      <c r="H47" s="89">
        <v>7.0</v>
      </c>
      <c r="I47" s="88">
        <v>6.0</v>
      </c>
      <c r="J47" s="41">
        <f t="shared" ref="J47:J54" si="4">SUM(C47:I47)</f>
        <v>41</v>
      </c>
      <c r="K47" s="1"/>
      <c r="L47" s="1"/>
      <c r="M47" s="1"/>
      <c r="N47" s="1"/>
      <c r="O47" s="1"/>
    </row>
    <row r="48" ht="15.75" customHeight="1">
      <c r="A48" s="54"/>
      <c r="B48" s="11" t="s">
        <v>4</v>
      </c>
      <c r="C48" s="88">
        <v>5.0</v>
      </c>
      <c r="D48" s="88">
        <v>7.0</v>
      </c>
      <c r="E48" s="88">
        <v>8.0</v>
      </c>
      <c r="F48" s="89">
        <v>7.0</v>
      </c>
      <c r="G48" s="89">
        <v>5.0</v>
      </c>
      <c r="H48" s="89">
        <v>3.0</v>
      </c>
      <c r="I48" s="88">
        <v>5.0</v>
      </c>
      <c r="J48" s="41">
        <f t="shared" si="4"/>
        <v>40</v>
      </c>
      <c r="K48" s="1"/>
      <c r="L48" s="1"/>
      <c r="M48" s="1"/>
      <c r="N48" s="1"/>
      <c r="O48" s="1"/>
    </row>
    <row r="49" ht="15.75" customHeight="1">
      <c r="A49" s="52"/>
      <c r="B49" s="34" t="s">
        <v>131</v>
      </c>
      <c r="C49" s="88">
        <v>4.0</v>
      </c>
      <c r="D49" s="88">
        <v>3.0</v>
      </c>
      <c r="E49" s="88">
        <v>7.0</v>
      </c>
      <c r="F49" s="89">
        <v>3.0</v>
      </c>
      <c r="G49" s="89">
        <v>7.0</v>
      </c>
      <c r="H49" s="89">
        <v>4.0</v>
      </c>
      <c r="I49" s="88">
        <v>7.0</v>
      </c>
      <c r="J49" s="41">
        <f t="shared" si="4"/>
        <v>35</v>
      </c>
      <c r="K49" s="1"/>
      <c r="L49" s="1"/>
      <c r="M49" s="1"/>
      <c r="N49" s="1"/>
      <c r="O49" s="1"/>
    </row>
    <row r="50" ht="15.75" customHeight="1">
      <c r="A50" s="52"/>
      <c r="B50" s="34" t="s">
        <v>132</v>
      </c>
      <c r="C50" s="88">
        <v>7.0</v>
      </c>
      <c r="D50" s="88">
        <v>1.0</v>
      </c>
      <c r="E50" s="88">
        <v>3.0</v>
      </c>
      <c r="F50" s="89">
        <v>4.0</v>
      </c>
      <c r="G50" s="89">
        <v>6.0</v>
      </c>
      <c r="H50" s="89">
        <v>6.0</v>
      </c>
      <c r="I50" s="88">
        <v>8.0</v>
      </c>
      <c r="J50" s="41">
        <f t="shared" si="4"/>
        <v>35</v>
      </c>
      <c r="K50" s="1"/>
      <c r="L50" s="1"/>
      <c r="M50" s="1"/>
      <c r="N50" s="1"/>
      <c r="O50" s="1"/>
    </row>
    <row r="51" ht="15.75" customHeight="1">
      <c r="A51" s="54"/>
      <c r="B51" s="34" t="s">
        <v>133</v>
      </c>
      <c r="C51" s="88">
        <v>8.0</v>
      </c>
      <c r="D51" s="88">
        <v>6.0</v>
      </c>
      <c r="E51" s="88">
        <v>4.0</v>
      </c>
      <c r="F51" s="89">
        <v>8.0</v>
      </c>
      <c r="G51" s="89">
        <v>2.0</v>
      </c>
      <c r="H51" s="89">
        <v>1.0</v>
      </c>
      <c r="I51" s="88">
        <v>3.0</v>
      </c>
      <c r="J51" s="41">
        <f t="shared" si="4"/>
        <v>32</v>
      </c>
      <c r="K51" s="1"/>
      <c r="L51" s="1"/>
      <c r="M51" s="1"/>
      <c r="N51" s="1"/>
      <c r="O51" s="1"/>
    </row>
    <row r="52" ht="15.75" customHeight="1">
      <c r="B52" s="34" t="s">
        <v>134</v>
      </c>
      <c r="C52" s="88">
        <v>2.0</v>
      </c>
      <c r="D52" s="88">
        <v>8.0</v>
      </c>
      <c r="E52" s="88">
        <v>5.0</v>
      </c>
      <c r="F52" s="88">
        <v>5.0</v>
      </c>
      <c r="G52" s="88">
        <v>1.0</v>
      </c>
      <c r="H52" s="88">
        <v>5.0</v>
      </c>
      <c r="I52" s="88">
        <v>1.0</v>
      </c>
      <c r="J52" s="41">
        <f t="shared" si="4"/>
        <v>27</v>
      </c>
      <c r="K52" s="1"/>
      <c r="L52" s="1"/>
      <c r="M52" s="1"/>
      <c r="N52" s="1"/>
      <c r="O52" s="1"/>
    </row>
    <row r="53" ht="15.75" customHeight="1">
      <c r="A53" s="54"/>
      <c r="B53" s="34" t="s">
        <v>135</v>
      </c>
      <c r="C53" s="88">
        <v>3.0</v>
      </c>
      <c r="D53" s="88">
        <v>5.0</v>
      </c>
      <c r="E53" s="88">
        <v>2.0</v>
      </c>
      <c r="F53" s="89">
        <v>2.0</v>
      </c>
      <c r="G53" s="89">
        <v>4.0</v>
      </c>
      <c r="H53" s="89">
        <v>8.0</v>
      </c>
      <c r="I53" s="88">
        <v>2.0</v>
      </c>
      <c r="J53" s="41">
        <f t="shared" si="4"/>
        <v>26</v>
      </c>
      <c r="K53" s="1"/>
      <c r="L53" s="1"/>
      <c r="M53" s="1"/>
      <c r="N53" s="1"/>
      <c r="O53" s="1"/>
    </row>
    <row r="54" ht="15.75" customHeight="1">
      <c r="B54" s="34" t="s">
        <v>136</v>
      </c>
      <c r="C54" s="88">
        <v>1.0</v>
      </c>
      <c r="D54" s="88">
        <v>4.0</v>
      </c>
      <c r="E54" s="88">
        <v>1.0</v>
      </c>
      <c r="F54" s="88">
        <v>1.0</v>
      </c>
      <c r="G54" s="88">
        <v>3.0</v>
      </c>
      <c r="H54" s="88">
        <v>2.0</v>
      </c>
      <c r="I54" s="88">
        <v>4.0</v>
      </c>
      <c r="J54" s="41">
        <f t="shared" si="4"/>
        <v>16</v>
      </c>
      <c r="K54" s="1"/>
      <c r="L54" s="1"/>
      <c r="M54" s="1"/>
      <c r="N54" s="1"/>
      <c r="O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57"/>
      <c r="B56" s="58" t="s">
        <v>70</v>
      </c>
      <c r="C56" s="65"/>
      <c r="D56" s="65"/>
      <c r="E56" s="65"/>
      <c r="F56" s="65"/>
      <c r="G56" s="65"/>
      <c r="H56" s="65"/>
      <c r="I56" s="65"/>
      <c r="J56" s="51"/>
      <c r="K56" s="1"/>
      <c r="L56" s="1"/>
      <c r="M56" s="1"/>
      <c r="N56" s="1"/>
      <c r="O56" s="1"/>
    </row>
    <row r="57" ht="15.75" customHeight="1">
      <c r="A57" s="57"/>
      <c r="B57" s="37" t="s">
        <v>1</v>
      </c>
      <c r="C57" s="90" t="s">
        <v>23</v>
      </c>
      <c r="D57" s="37" t="s">
        <v>41</v>
      </c>
      <c r="E57" s="37" t="s">
        <v>42</v>
      </c>
      <c r="F57" s="91" t="s">
        <v>43</v>
      </c>
      <c r="G57" s="91" t="s">
        <v>44</v>
      </c>
      <c r="H57" s="91" t="s">
        <v>45</v>
      </c>
      <c r="I57" s="92" t="s">
        <v>46</v>
      </c>
      <c r="J57" s="37" t="s">
        <v>63</v>
      </c>
      <c r="K57" s="1"/>
      <c r="L57" s="1"/>
      <c r="M57" s="1"/>
      <c r="N57" s="1"/>
      <c r="O57" s="1"/>
    </row>
    <row r="58" ht="15.75" customHeight="1">
      <c r="A58" s="57"/>
      <c r="B58" s="11" t="s">
        <v>5</v>
      </c>
      <c r="C58" s="88">
        <f t="shared" ref="C58:D58" si="5">SUM(C47*5)</f>
        <v>30</v>
      </c>
      <c r="D58" s="88">
        <f t="shared" si="5"/>
        <v>10</v>
      </c>
      <c r="E58" s="88">
        <f t="shared" ref="E58:F58" si="6">SUM(E47*3)</f>
        <v>18</v>
      </c>
      <c r="F58" s="89">
        <f t="shared" si="6"/>
        <v>18</v>
      </c>
      <c r="G58" s="89">
        <f t="shared" ref="G58:G65" si="9">SUM(G47*1)</f>
        <v>8</v>
      </c>
      <c r="H58" s="89">
        <f t="shared" ref="H58:H65" si="10">SUM(H47*4)</f>
        <v>28</v>
      </c>
      <c r="I58" s="88">
        <f t="shared" ref="I58:I65" si="11">SUM(I47*2)</f>
        <v>12</v>
      </c>
      <c r="J58" s="41">
        <f t="shared" ref="J58:J65" si="12">SUM(C58:I58)</f>
        <v>124</v>
      </c>
      <c r="K58" s="1"/>
      <c r="L58" s="1"/>
      <c r="M58" s="1"/>
      <c r="N58" s="1"/>
      <c r="O58" s="1"/>
    </row>
    <row r="59" ht="15.75" customHeight="1">
      <c r="A59" s="57"/>
      <c r="B59" s="11" t="s">
        <v>4</v>
      </c>
      <c r="C59" s="88">
        <f t="shared" ref="C59:D59" si="7">SUM(C48*5)</f>
        <v>25</v>
      </c>
      <c r="D59" s="88">
        <f t="shared" si="7"/>
        <v>35</v>
      </c>
      <c r="E59" s="88">
        <f t="shared" ref="E59:F59" si="8">SUM(E48*3)</f>
        <v>24</v>
      </c>
      <c r="F59" s="89">
        <f t="shared" si="8"/>
        <v>21</v>
      </c>
      <c r="G59" s="89">
        <f t="shared" si="9"/>
        <v>5</v>
      </c>
      <c r="H59" s="89">
        <f t="shared" si="10"/>
        <v>12</v>
      </c>
      <c r="I59" s="88">
        <f t="shared" si="11"/>
        <v>10</v>
      </c>
      <c r="J59" s="41">
        <f t="shared" si="12"/>
        <v>132</v>
      </c>
      <c r="K59" s="1"/>
      <c r="L59" s="1"/>
      <c r="M59" s="1"/>
      <c r="N59" s="1"/>
      <c r="O59" s="1"/>
    </row>
    <row r="60" ht="15.75" customHeight="1">
      <c r="A60" s="57"/>
      <c r="B60" s="34" t="s">
        <v>137</v>
      </c>
      <c r="C60" s="88">
        <f t="shared" ref="C60:D60" si="13">SUM(C49*5)</f>
        <v>20</v>
      </c>
      <c r="D60" s="88">
        <f t="shared" si="13"/>
        <v>15</v>
      </c>
      <c r="E60" s="88">
        <f t="shared" ref="E60:F60" si="14">SUM(E49*3)</f>
        <v>21</v>
      </c>
      <c r="F60" s="89">
        <f t="shared" si="14"/>
        <v>9</v>
      </c>
      <c r="G60" s="89">
        <f t="shared" si="9"/>
        <v>7</v>
      </c>
      <c r="H60" s="89">
        <f t="shared" si="10"/>
        <v>16</v>
      </c>
      <c r="I60" s="88">
        <f t="shared" si="11"/>
        <v>14</v>
      </c>
      <c r="J60" s="41">
        <f t="shared" si="12"/>
        <v>102</v>
      </c>
      <c r="K60" s="1"/>
      <c r="L60" s="1"/>
      <c r="M60" s="1"/>
      <c r="N60" s="1"/>
      <c r="O60" s="1"/>
    </row>
    <row r="61" ht="15.75" customHeight="1">
      <c r="A61" s="57"/>
      <c r="B61" s="34" t="s">
        <v>138</v>
      </c>
      <c r="C61" s="88">
        <f t="shared" ref="C61:D61" si="15">SUM(C50*5)</f>
        <v>35</v>
      </c>
      <c r="D61" s="88">
        <f t="shared" si="15"/>
        <v>5</v>
      </c>
      <c r="E61" s="88">
        <f t="shared" ref="E61:F61" si="16">SUM(E50*3)</f>
        <v>9</v>
      </c>
      <c r="F61" s="89">
        <f t="shared" si="16"/>
        <v>12</v>
      </c>
      <c r="G61" s="89">
        <f t="shared" si="9"/>
        <v>6</v>
      </c>
      <c r="H61" s="89">
        <f t="shared" si="10"/>
        <v>24</v>
      </c>
      <c r="I61" s="88">
        <f t="shared" si="11"/>
        <v>16</v>
      </c>
      <c r="J61" s="41">
        <f t="shared" si="12"/>
        <v>107</v>
      </c>
      <c r="K61" s="1"/>
      <c r="L61" s="1"/>
      <c r="M61" s="1"/>
      <c r="N61" s="1"/>
      <c r="O61" s="1"/>
    </row>
    <row r="62" ht="15.75" customHeight="1">
      <c r="A62" s="57"/>
      <c r="B62" s="34" t="s">
        <v>139</v>
      </c>
      <c r="C62" s="88">
        <f t="shared" ref="C62:D62" si="17">SUM(C51*5)</f>
        <v>40</v>
      </c>
      <c r="D62" s="88">
        <f t="shared" si="17"/>
        <v>30</v>
      </c>
      <c r="E62" s="88">
        <f t="shared" ref="E62:F62" si="18">SUM(E51*3)</f>
        <v>12</v>
      </c>
      <c r="F62" s="89">
        <f t="shared" si="18"/>
        <v>24</v>
      </c>
      <c r="G62" s="89">
        <f t="shared" si="9"/>
        <v>2</v>
      </c>
      <c r="H62" s="89">
        <f t="shared" si="10"/>
        <v>4</v>
      </c>
      <c r="I62" s="88">
        <f t="shared" si="11"/>
        <v>6</v>
      </c>
      <c r="J62" s="41">
        <f t="shared" si="12"/>
        <v>118</v>
      </c>
      <c r="K62" s="1"/>
      <c r="L62" s="1"/>
      <c r="M62" s="1"/>
      <c r="N62" s="1"/>
      <c r="O62" s="1"/>
    </row>
    <row r="63" ht="15.75" customHeight="1">
      <c r="A63" s="57"/>
      <c r="B63" s="34" t="s">
        <v>140</v>
      </c>
      <c r="C63" s="88">
        <f t="shared" ref="C63:D63" si="19">SUM(C52*5)</f>
        <v>10</v>
      </c>
      <c r="D63" s="88">
        <f t="shared" si="19"/>
        <v>40</v>
      </c>
      <c r="E63" s="88">
        <f t="shared" ref="E63:F63" si="20">SUM(E52*3)</f>
        <v>15</v>
      </c>
      <c r="F63" s="89">
        <f t="shared" si="20"/>
        <v>15</v>
      </c>
      <c r="G63" s="89">
        <f t="shared" si="9"/>
        <v>1</v>
      </c>
      <c r="H63" s="89">
        <f t="shared" si="10"/>
        <v>20</v>
      </c>
      <c r="I63" s="88">
        <f t="shared" si="11"/>
        <v>2</v>
      </c>
      <c r="J63" s="41">
        <f t="shared" si="12"/>
        <v>103</v>
      </c>
      <c r="K63" s="1"/>
      <c r="L63" s="1"/>
      <c r="M63" s="1"/>
      <c r="N63" s="1"/>
      <c r="O63" s="1"/>
    </row>
    <row r="64" ht="15.75" customHeight="1">
      <c r="A64" s="57"/>
      <c r="B64" s="34" t="s">
        <v>141</v>
      </c>
      <c r="C64" s="88">
        <f t="shared" ref="C64:D64" si="21">SUM(C53*5)</f>
        <v>15</v>
      </c>
      <c r="D64" s="88">
        <f t="shared" si="21"/>
        <v>25</v>
      </c>
      <c r="E64" s="88">
        <f t="shared" ref="E64:F64" si="22">SUM(E53*3)</f>
        <v>6</v>
      </c>
      <c r="F64" s="89">
        <f t="shared" si="22"/>
        <v>6</v>
      </c>
      <c r="G64" s="89">
        <f t="shared" si="9"/>
        <v>4</v>
      </c>
      <c r="H64" s="89">
        <f t="shared" si="10"/>
        <v>32</v>
      </c>
      <c r="I64" s="88">
        <f t="shared" si="11"/>
        <v>4</v>
      </c>
      <c r="J64" s="41">
        <f t="shared" si="12"/>
        <v>92</v>
      </c>
      <c r="K64" s="1"/>
      <c r="L64" s="1"/>
      <c r="M64" s="1"/>
      <c r="N64" s="1"/>
      <c r="O64" s="1"/>
    </row>
    <row r="65" ht="15.75" customHeight="1">
      <c r="A65" s="57"/>
      <c r="B65" s="34" t="s">
        <v>142</v>
      </c>
      <c r="C65" s="88">
        <f t="shared" ref="C65:D65" si="23">SUM(C54*5)</f>
        <v>5</v>
      </c>
      <c r="D65" s="88">
        <f t="shared" si="23"/>
        <v>20</v>
      </c>
      <c r="E65" s="88">
        <f t="shared" ref="E65:F65" si="24">SUM(E54*3)</f>
        <v>3</v>
      </c>
      <c r="F65" s="89">
        <f t="shared" si="24"/>
        <v>3</v>
      </c>
      <c r="G65" s="89">
        <f t="shared" si="9"/>
        <v>3</v>
      </c>
      <c r="H65" s="89">
        <f t="shared" si="10"/>
        <v>8</v>
      </c>
      <c r="I65" s="88">
        <f t="shared" si="11"/>
        <v>8</v>
      </c>
      <c r="J65" s="41">
        <f t="shared" si="12"/>
        <v>50</v>
      </c>
      <c r="K65" s="1"/>
      <c r="L65" s="1"/>
      <c r="M65" s="1"/>
      <c r="N65" s="1"/>
      <c r="O65" s="1"/>
    </row>
    <row r="66" ht="15.75" customHeight="1">
      <c r="A66" s="57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57"/>
      <c r="B67" s="6" t="s">
        <v>1</v>
      </c>
      <c r="C67" s="6" t="s">
        <v>63</v>
      </c>
      <c r="D67" s="1"/>
      <c r="E67" s="1"/>
      <c r="F67" s="1"/>
      <c r="G67" s="1"/>
      <c r="H67" s="93"/>
      <c r="I67" s="1"/>
      <c r="J67" s="1"/>
      <c r="K67" s="1"/>
      <c r="L67" s="1"/>
      <c r="M67" s="1"/>
      <c r="N67" s="1"/>
      <c r="O67" s="1"/>
    </row>
    <row r="68" ht="15.75" customHeight="1">
      <c r="A68" s="57"/>
      <c r="B68" s="59" t="s">
        <v>4</v>
      </c>
      <c r="C68" s="60">
        <v>144.0</v>
      </c>
      <c r="D68" s="1"/>
      <c r="E68" s="1"/>
      <c r="F68" s="1"/>
      <c r="G68" s="1"/>
      <c r="H68" s="93"/>
      <c r="I68" s="1"/>
      <c r="J68" s="1"/>
      <c r="K68" s="1"/>
      <c r="L68" s="1"/>
      <c r="M68" s="1"/>
      <c r="N68" s="1"/>
      <c r="O68" s="1"/>
    </row>
    <row r="69" ht="15.75" customHeight="1">
      <c r="A69" s="57"/>
      <c r="B69" s="11" t="s">
        <v>4</v>
      </c>
      <c r="C69" s="94">
        <v>132.0</v>
      </c>
      <c r="D69" s="1"/>
      <c r="E69" s="1"/>
      <c r="F69" s="1"/>
      <c r="G69" s="1"/>
      <c r="H69" s="93"/>
      <c r="I69" s="1"/>
      <c r="J69" s="1"/>
      <c r="K69" s="1"/>
      <c r="L69" s="1"/>
      <c r="M69" s="1"/>
      <c r="N69" s="1"/>
      <c r="O69" s="1"/>
    </row>
    <row r="70" ht="15.75" customHeight="1">
      <c r="A70" s="57"/>
      <c r="B70" s="11" t="s">
        <v>5</v>
      </c>
      <c r="C70" s="94">
        <v>124.0</v>
      </c>
      <c r="D70" s="1"/>
      <c r="E70" s="1"/>
      <c r="F70" s="1"/>
      <c r="G70" s="1"/>
      <c r="H70" s="93"/>
      <c r="I70" s="1"/>
      <c r="J70" s="1"/>
      <c r="K70" s="1"/>
      <c r="L70" s="1"/>
      <c r="M70" s="1"/>
      <c r="N70" s="1"/>
      <c r="O70" s="1"/>
    </row>
    <row r="71" ht="15.75" customHeight="1">
      <c r="A71" s="57"/>
      <c r="B71" s="34" t="s">
        <v>143</v>
      </c>
      <c r="C71" s="94">
        <v>118.0</v>
      </c>
      <c r="D71" s="1"/>
      <c r="E71" s="1"/>
      <c r="F71" s="1"/>
      <c r="G71" s="1"/>
      <c r="H71" s="93"/>
      <c r="I71" s="1"/>
      <c r="J71" s="1"/>
      <c r="K71" s="1"/>
      <c r="L71" s="1"/>
      <c r="M71" s="1"/>
      <c r="N71" s="1"/>
      <c r="O71" s="1"/>
    </row>
    <row r="72" ht="15.75" customHeight="1">
      <c r="A72" s="57"/>
      <c r="B72" s="34" t="s">
        <v>144</v>
      </c>
      <c r="C72" s="94">
        <v>107.0</v>
      </c>
      <c r="D72" s="1"/>
      <c r="E72" s="1"/>
      <c r="F72" s="1"/>
      <c r="G72" s="1"/>
      <c r="H72" s="93"/>
      <c r="I72" s="1"/>
      <c r="J72" s="1"/>
      <c r="K72" s="1"/>
      <c r="L72" s="1"/>
      <c r="M72" s="1"/>
      <c r="N72" s="1"/>
      <c r="O72" s="1"/>
    </row>
    <row r="73" ht="15.75" customHeight="1">
      <c r="A73" s="57"/>
      <c r="B73" s="34" t="s">
        <v>145</v>
      </c>
      <c r="C73" s="94">
        <v>103.0</v>
      </c>
      <c r="D73" s="1"/>
      <c r="E73" s="1"/>
      <c r="F73" s="1"/>
      <c r="G73" s="1"/>
      <c r="H73" s="93"/>
      <c r="I73" s="1"/>
      <c r="J73" s="1"/>
      <c r="K73" s="1"/>
      <c r="L73" s="1"/>
      <c r="M73" s="1"/>
      <c r="N73" s="1"/>
      <c r="O73" s="1"/>
    </row>
    <row r="74" ht="15.75" customHeight="1">
      <c r="A74" s="57"/>
      <c r="B74" s="34" t="s">
        <v>146</v>
      </c>
      <c r="C74" s="94">
        <v>102.0</v>
      </c>
      <c r="D74" s="1"/>
      <c r="E74" s="1"/>
      <c r="F74" s="1"/>
      <c r="G74" s="1"/>
      <c r="H74" s="93"/>
      <c r="I74" s="1"/>
      <c r="J74" s="1"/>
      <c r="K74" s="1"/>
      <c r="L74" s="1"/>
      <c r="M74" s="1"/>
      <c r="N74" s="1"/>
      <c r="O74" s="1"/>
    </row>
    <row r="75" ht="15.75" customHeight="1">
      <c r="A75" s="57"/>
      <c r="B75" s="34" t="s">
        <v>147</v>
      </c>
      <c r="C75" s="94">
        <v>92.0</v>
      </c>
      <c r="D75" s="1"/>
      <c r="E75" s="1"/>
      <c r="F75" s="1"/>
      <c r="G75" s="1"/>
      <c r="H75" s="93"/>
      <c r="I75" s="1"/>
      <c r="J75" s="1"/>
      <c r="K75" s="1"/>
      <c r="L75" s="1"/>
      <c r="M75" s="1"/>
      <c r="N75" s="1"/>
      <c r="O75" s="1"/>
    </row>
    <row r="76" ht="15.75" customHeight="1">
      <c r="A76" s="57"/>
      <c r="B76" s="34" t="s">
        <v>148</v>
      </c>
      <c r="C76" s="94">
        <v>50.0</v>
      </c>
      <c r="D76" s="1"/>
      <c r="E76" s="1"/>
      <c r="F76" s="1"/>
      <c r="G76" s="1"/>
      <c r="H76" s="93"/>
      <c r="I76" s="1"/>
      <c r="J76" s="1"/>
      <c r="K76" s="1"/>
      <c r="L76" s="1"/>
      <c r="M76" s="1"/>
      <c r="N76" s="1"/>
      <c r="O76" s="1"/>
    </row>
    <row r="77" ht="15.75" customHeight="1">
      <c r="A77" s="57"/>
      <c r="B77" s="1"/>
      <c r="C77" s="1"/>
      <c r="D77" s="1"/>
      <c r="E77" s="1"/>
      <c r="F77" s="1"/>
      <c r="G77" s="1"/>
      <c r="H77" s="93"/>
      <c r="I77" s="1"/>
      <c r="J77" s="1"/>
      <c r="K77" s="1"/>
      <c r="L77" s="1"/>
      <c r="M77" s="1"/>
      <c r="N77" s="1"/>
      <c r="O77" s="1"/>
    </row>
    <row r="78" ht="15.75" customHeight="1">
      <c r="A78" s="57"/>
      <c r="B78" s="95" t="s">
        <v>149</v>
      </c>
      <c r="C78" s="65"/>
      <c r="D78" s="65"/>
      <c r="E78" s="65"/>
      <c r="F78" s="65"/>
      <c r="G78" s="65"/>
      <c r="H78" s="65"/>
      <c r="I78" s="51"/>
      <c r="J78" s="1"/>
      <c r="K78" s="1"/>
      <c r="L78" s="1"/>
      <c r="M78" s="1"/>
      <c r="N78" s="1"/>
      <c r="O78" s="1"/>
    </row>
    <row r="79" ht="15.75" customHeight="1">
      <c r="A79" s="57"/>
      <c r="B79" s="96"/>
      <c r="C79" s="6" t="s">
        <v>150</v>
      </c>
      <c r="D79" s="6" t="s">
        <v>151</v>
      </c>
      <c r="E79" s="7" t="s">
        <v>152</v>
      </c>
      <c r="F79" s="97" t="s">
        <v>112</v>
      </c>
      <c r="G79" s="7" t="s">
        <v>153</v>
      </c>
      <c r="H79" s="98" t="s">
        <v>154</v>
      </c>
      <c r="I79" s="6" t="s">
        <v>155</v>
      </c>
      <c r="J79" s="1"/>
      <c r="K79" s="1"/>
      <c r="L79" s="1"/>
      <c r="M79" s="1"/>
      <c r="N79" s="1"/>
      <c r="O79" s="1"/>
    </row>
    <row r="80" ht="15.75" customHeight="1">
      <c r="A80" s="57"/>
      <c r="B80" s="85" t="s">
        <v>43</v>
      </c>
      <c r="C80" s="35">
        <v>3.0</v>
      </c>
      <c r="D80" s="35">
        <v>5.0</v>
      </c>
      <c r="E80" s="35">
        <f t="shared" ref="E80:E85" si="25">C80*D80</f>
        <v>15</v>
      </c>
      <c r="F80" s="94">
        <v>3.0</v>
      </c>
      <c r="G80" s="35">
        <f t="shared" ref="G80:G85" si="26">C80*F80</f>
        <v>9</v>
      </c>
      <c r="H80" s="99">
        <f t="shared" ref="H80:H86" si="27">G80/E80</f>
        <v>0.6</v>
      </c>
      <c r="I80" s="99">
        <f t="shared" ref="I80:I85" si="28">H80*C80</f>
        <v>1.8</v>
      </c>
      <c r="J80" s="1"/>
      <c r="K80" s="1"/>
      <c r="L80" s="1"/>
      <c r="M80" s="1"/>
      <c r="N80" s="1"/>
      <c r="O80" s="1"/>
    </row>
    <row r="81" ht="15.75" customHeight="1">
      <c r="A81" s="57"/>
      <c r="B81" s="85" t="s">
        <v>44</v>
      </c>
      <c r="C81" s="35">
        <v>1.0</v>
      </c>
      <c r="D81" s="35">
        <v>5.0</v>
      </c>
      <c r="E81" s="35">
        <f t="shared" si="25"/>
        <v>5</v>
      </c>
      <c r="F81" s="94">
        <v>5.0</v>
      </c>
      <c r="G81" s="35">
        <f t="shared" si="26"/>
        <v>5</v>
      </c>
      <c r="H81" s="99">
        <f t="shared" si="27"/>
        <v>1</v>
      </c>
      <c r="I81" s="99">
        <f t="shared" si="28"/>
        <v>1</v>
      </c>
      <c r="J81" s="1"/>
      <c r="K81" s="1"/>
      <c r="L81" s="1"/>
      <c r="M81" s="1"/>
      <c r="N81" s="1"/>
      <c r="O81" s="1"/>
    </row>
    <row r="82" ht="15.75" customHeight="1">
      <c r="A82" s="57"/>
      <c r="B82" s="85" t="s">
        <v>45</v>
      </c>
      <c r="C82" s="35">
        <v>4.0</v>
      </c>
      <c r="D82" s="35">
        <v>5.0</v>
      </c>
      <c r="E82" s="35">
        <f t="shared" si="25"/>
        <v>20</v>
      </c>
      <c r="F82" s="94">
        <v>4.0</v>
      </c>
      <c r="G82" s="35">
        <f t="shared" si="26"/>
        <v>16</v>
      </c>
      <c r="H82" s="99">
        <f t="shared" si="27"/>
        <v>0.8</v>
      </c>
      <c r="I82" s="99">
        <f t="shared" si="28"/>
        <v>3.2</v>
      </c>
      <c r="J82" s="1"/>
      <c r="K82" s="1"/>
      <c r="L82" s="1"/>
      <c r="M82" s="1"/>
      <c r="N82" s="1"/>
      <c r="O82" s="1"/>
    </row>
    <row r="83" ht="15.75" customHeight="1">
      <c r="A83" s="57"/>
      <c r="B83" s="85" t="s">
        <v>46</v>
      </c>
      <c r="C83" s="35">
        <v>2.0</v>
      </c>
      <c r="D83" s="35">
        <v>5.0</v>
      </c>
      <c r="E83" s="35">
        <f t="shared" si="25"/>
        <v>10</v>
      </c>
      <c r="F83" s="94">
        <v>3.0</v>
      </c>
      <c r="G83" s="35">
        <f t="shared" si="26"/>
        <v>6</v>
      </c>
      <c r="H83" s="99">
        <f t="shared" si="27"/>
        <v>0.6</v>
      </c>
      <c r="I83" s="99">
        <f t="shared" si="28"/>
        <v>1.2</v>
      </c>
      <c r="J83" s="1"/>
      <c r="K83" s="1"/>
      <c r="L83" s="1"/>
      <c r="M83" s="1"/>
      <c r="N83" s="1"/>
      <c r="O83" s="1"/>
    </row>
    <row r="84" ht="15.75" customHeight="1">
      <c r="A84" s="57"/>
      <c r="B84" s="85" t="s">
        <v>156</v>
      </c>
      <c r="C84" s="35">
        <v>5.0</v>
      </c>
      <c r="D84" s="35">
        <v>5.0</v>
      </c>
      <c r="E84" s="35">
        <f t="shared" si="25"/>
        <v>25</v>
      </c>
      <c r="F84" s="94">
        <v>3.0</v>
      </c>
      <c r="G84" s="35">
        <f t="shared" si="26"/>
        <v>15</v>
      </c>
      <c r="H84" s="99">
        <f t="shared" si="27"/>
        <v>0.6</v>
      </c>
      <c r="I84" s="99">
        <f t="shared" si="28"/>
        <v>3</v>
      </c>
      <c r="J84" s="1"/>
      <c r="K84" s="1"/>
      <c r="L84" s="1"/>
      <c r="M84" s="1"/>
      <c r="N84" s="1"/>
      <c r="O84" s="1"/>
    </row>
    <row r="85" ht="15.75" customHeight="1">
      <c r="A85" s="57"/>
      <c r="B85" s="85" t="s">
        <v>42</v>
      </c>
      <c r="C85" s="35">
        <v>3.0</v>
      </c>
      <c r="D85" s="35">
        <v>5.0</v>
      </c>
      <c r="E85" s="35">
        <f t="shared" si="25"/>
        <v>15</v>
      </c>
      <c r="F85" s="94">
        <v>4.0</v>
      </c>
      <c r="G85" s="35">
        <f t="shared" si="26"/>
        <v>12</v>
      </c>
      <c r="H85" s="99">
        <f t="shared" si="27"/>
        <v>0.8</v>
      </c>
      <c r="I85" s="99">
        <f t="shared" si="28"/>
        <v>2.4</v>
      </c>
      <c r="J85" s="1"/>
      <c r="K85" s="1"/>
      <c r="L85" s="1"/>
      <c r="M85" s="1"/>
      <c r="N85" s="1"/>
      <c r="O85" s="1"/>
    </row>
    <row r="86" ht="15.75" customHeight="1">
      <c r="A86" s="57"/>
      <c r="B86" s="15"/>
      <c r="C86" s="37">
        <f t="shared" ref="C86:G86" si="29">SUM(C80:C85)</f>
        <v>18</v>
      </c>
      <c r="D86" s="37">
        <f t="shared" si="29"/>
        <v>30</v>
      </c>
      <c r="E86" s="37">
        <f t="shared" si="29"/>
        <v>90</v>
      </c>
      <c r="F86" s="37">
        <f t="shared" si="29"/>
        <v>22</v>
      </c>
      <c r="G86" s="37">
        <f t="shared" si="29"/>
        <v>63</v>
      </c>
      <c r="H86" s="99">
        <f t="shared" si="27"/>
        <v>0.7</v>
      </c>
      <c r="I86" s="92">
        <f>SUM(I80:I85)</f>
        <v>12.6</v>
      </c>
      <c r="J86" s="1"/>
      <c r="K86" s="1"/>
      <c r="L86" s="1"/>
      <c r="M86" s="1"/>
      <c r="N86" s="1"/>
      <c r="O86" s="1"/>
    </row>
    <row r="87" ht="15.75" customHeight="1">
      <c r="A87" s="57"/>
      <c r="B87" s="15"/>
      <c r="C87" s="15"/>
      <c r="D87" s="15"/>
      <c r="E87" s="15"/>
      <c r="F87" s="15"/>
      <c r="G87" s="15"/>
      <c r="H87" s="100"/>
      <c r="I87" s="92">
        <f>I86/C86</f>
        <v>0.7</v>
      </c>
      <c r="J87" s="1"/>
      <c r="K87" s="1"/>
      <c r="L87" s="1"/>
      <c r="M87" s="1"/>
      <c r="N87" s="1"/>
      <c r="O87" s="1"/>
    </row>
    <row r="88" ht="15.75" customHeight="1">
      <c r="A88" s="57"/>
      <c r="B88" s="1"/>
      <c r="C88" s="1" t="s">
        <v>157</v>
      </c>
      <c r="D88" s="1"/>
      <c r="E88" s="1"/>
      <c r="F88" s="1"/>
      <c r="G88" s="1"/>
      <c r="H88" s="93"/>
      <c r="I88" s="1"/>
      <c r="J88" s="1"/>
      <c r="K88" s="1"/>
      <c r="L88" s="1"/>
      <c r="M88" s="1"/>
      <c r="N88" s="1"/>
      <c r="O88" s="1"/>
    </row>
    <row r="89" ht="15.75" customHeight="1">
      <c r="A89" s="57"/>
      <c r="B89" s="1"/>
      <c r="C89" s="1"/>
      <c r="D89" s="1"/>
      <c r="E89" s="1"/>
      <c r="F89" s="1"/>
      <c r="G89" s="1"/>
      <c r="H89" s="93"/>
      <c r="I89" s="1"/>
      <c r="J89" s="1"/>
      <c r="K89" s="1"/>
      <c r="L89" s="1"/>
      <c r="M89" s="1"/>
      <c r="N89" s="1"/>
      <c r="O89" s="1"/>
    </row>
    <row r="90" ht="15.75" customHeight="1">
      <c r="A90" s="62"/>
      <c r="B90" s="63" t="s">
        <v>83</v>
      </c>
      <c r="C90" s="64">
        <v>46381.0</v>
      </c>
      <c r="D90" s="64">
        <v>46048.0</v>
      </c>
      <c r="E90" s="64">
        <v>46079.0</v>
      </c>
      <c r="F90" s="62"/>
    </row>
    <row r="91" ht="15.75" customHeight="1">
      <c r="A91" s="57"/>
      <c r="B91" s="1"/>
      <c r="C91" s="1">
        <v>69.0</v>
      </c>
      <c r="D91" s="1">
        <v>69.0</v>
      </c>
      <c r="E91" s="57">
        <v>70.0</v>
      </c>
      <c r="F91" s="57"/>
    </row>
    <row r="92" ht="15.75" customHeight="1">
      <c r="A92" s="57"/>
      <c r="B92" s="1"/>
      <c r="C92" s="2"/>
      <c r="D92" s="1"/>
      <c r="E92" s="1"/>
      <c r="F92" s="1"/>
      <c r="G92" s="1"/>
      <c r="H92" s="57"/>
      <c r="I92" s="57"/>
    </row>
  </sheetData>
  <mergeCells count="6">
    <mergeCell ref="B2:C2"/>
    <mergeCell ref="B13:E13"/>
    <mergeCell ref="B24:F24"/>
    <mergeCell ref="B45:J45"/>
    <mergeCell ref="B56:J56"/>
    <mergeCell ref="B78:I78"/>
  </mergeCells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3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6"/>
    <hyperlink r:id="rId20" ref="B27"/>
    <hyperlink r:id="rId21" ref="B28"/>
    <hyperlink r:id="rId22" ref="B29"/>
    <hyperlink r:id="rId23" ref="B30"/>
    <hyperlink r:id="rId24" ref="B31"/>
    <hyperlink r:id="rId25" ref="B32"/>
    <hyperlink r:id="rId26" ref="C36"/>
    <hyperlink r:id="rId27" ref="D36"/>
    <hyperlink r:id="rId28" ref="E36"/>
    <hyperlink r:id="rId29" ref="F36"/>
    <hyperlink r:id="rId30" ref="G36"/>
    <hyperlink r:id="rId31" ref="H36"/>
    <hyperlink r:id="rId32" ref="I36"/>
    <hyperlink r:id="rId33" ref="C37"/>
    <hyperlink r:id="rId34" ref="D37"/>
    <hyperlink r:id="rId35" ref="E37"/>
    <hyperlink r:id="rId36" ref="F37"/>
    <hyperlink r:id="rId37" ref="G37"/>
    <hyperlink r:id="rId38" ref="H37"/>
    <hyperlink r:id="rId39" ref="I37"/>
    <hyperlink r:id="rId40" ref="C38"/>
    <hyperlink r:id="rId41" ref="D38"/>
    <hyperlink r:id="rId42" ref="E38"/>
    <hyperlink r:id="rId43" ref="F38"/>
    <hyperlink r:id="rId44" ref="G38"/>
    <hyperlink r:id="rId45" ref="H38"/>
    <hyperlink r:id="rId46" ref="I38"/>
    <hyperlink r:id="rId47" ref="C39"/>
    <hyperlink r:id="rId48" ref="D39"/>
    <hyperlink r:id="rId49" ref="E39"/>
    <hyperlink r:id="rId50" ref="F39"/>
    <hyperlink r:id="rId51" ref="G39"/>
    <hyperlink r:id="rId52" ref="H39"/>
    <hyperlink r:id="rId53" ref="I39"/>
    <hyperlink r:id="rId54" ref="C40"/>
    <hyperlink r:id="rId55" ref="D40"/>
    <hyperlink r:id="rId56" ref="E40"/>
    <hyperlink r:id="rId57" ref="F40"/>
    <hyperlink r:id="rId58" ref="G40"/>
    <hyperlink r:id="rId59" ref="H40"/>
    <hyperlink r:id="rId60" ref="I40"/>
    <hyperlink r:id="rId61" ref="C41"/>
    <hyperlink r:id="rId62" ref="D41"/>
    <hyperlink r:id="rId63" ref="E41"/>
    <hyperlink r:id="rId64" ref="F41"/>
    <hyperlink r:id="rId65" ref="G41"/>
    <hyperlink r:id="rId66" ref="H41"/>
    <hyperlink r:id="rId67" ref="I41"/>
    <hyperlink r:id="rId68" ref="C42"/>
    <hyperlink r:id="rId69" ref="D42"/>
    <hyperlink r:id="rId70" ref="E42"/>
    <hyperlink r:id="rId71" ref="F42"/>
    <hyperlink r:id="rId72" ref="G42"/>
    <hyperlink r:id="rId73" ref="H42"/>
    <hyperlink r:id="rId74" ref="C43"/>
    <hyperlink r:id="rId75" ref="D43"/>
    <hyperlink r:id="rId76" ref="F43"/>
    <hyperlink r:id="rId77" ref="H43"/>
    <hyperlink r:id="rId78" ref="B47"/>
    <hyperlink r:id="rId79" ref="B48"/>
    <hyperlink r:id="rId80" ref="B49"/>
    <hyperlink r:id="rId81" ref="B50"/>
    <hyperlink r:id="rId82" ref="B51"/>
    <hyperlink r:id="rId83" ref="B52"/>
    <hyperlink r:id="rId84" ref="B53"/>
    <hyperlink r:id="rId85" ref="B54"/>
    <hyperlink r:id="rId86" ref="B58"/>
    <hyperlink r:id="rId87" ref="B59"/>
    <hyperlink r:id="rId88" ref="B60"/>
    <hyperlink r:id="rId89" ref="B61"/>
    <hyperlink r:id="rId90" ref="B62"/>
    <hyperlink r:id="rId91" ref="B63"/>
    <hyperlink r:id="rId92" ref="B64"/>
    <hyperlink r:id="rId93" ref="B65"/>
    <hyperlink r:id="rId94" ref="B68"/>
    <hyperlink r:id="rId95" ref="B69"/>
    <hyperlink r:id="rId96" ref="B70"/>
    <hyperlink r:id="rId97" ref="B71"/>
    <hyperlink r:id="rId98" ref="B72"/>
    <hyperlink r:id="rId99" ref="B73"/>
    <hyperlink r:id="rId100" ref="B74"/>
    <hyperlink r:id="rId101" ref="B75"/>
    <hyperlink r:id="rId102" ref="B76"/>
  </hyperlinks>
  <printOptions/>
  <pageMargins bottom="0.787401575" footer="0.0" header="0.0" left="0.511811024" right="0.511811024" top="0.787401575"/>
  <pageSetup orientation="landscape"/>
  <drawing r:id="rId10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56"/>
    <col customWidth="1" min="2" max="2" width="18.22"/>
    <col customWidth="1" min="3" max="3" width="11.0"/>
    <col customWidth="1" min="4" max="8" width="9.44"/>
    <col customWidth="1" min="9" max="10" width="10.67"/>
    <col customWidth="1" min="11" max="11" width="6.22"/>
    <col customWidth="1" min="15" max="15" width="6.89"/>
  </cols>
  <sheetData>
    <row r="1" ht="9.0" customHeight="1">
      <c r="B1" s="1"/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</row>
    <row r="2" ht="15.75" customHeight="1">
      <c r="B2" s="3" t="s">
        <v>0</v>
      </c>
      <c r="C2" s="65"/>
      <c r="D2" s="65"/>
      <c r="E2" s="65"/>
      <c r="F2" s="66"/>
      <c r="G2" s="66"/>
      <c r="H2" s="2"/>
      <c r="I2" s="2"/>
      <c r="J2" s="2"/>
      <c r="K2" s="1"/>
      <c r="L2" s="1"/>
      <c r="M2" s="1"/>
      <c r="N2" s="1"/>
      <c r="O2" s="1"/>
    </row>
    <row r="3" ht="15.75" customHeight="1">
      <c r="A3" s="4"/>
      <c r="B3" s="5" t="s">
        <v>1</v>
      </c>
      <c r="C3" s="6" t="s">
        <v>12</v>
      </c>
      <c r="D3" s="6" t="s">
        <v>84</v>
      </c>
      <c r="E3" s="6" t="s">
        <v>2</v>
      </c>
      <c r="F3" s="67"/>
      <c r="G3" s="67"/>
      <c r="H3" s="67"/>
      <c r="I3" s="7"/>
      <c r="J3" s="7"/>
      <c r="K3" s="7"/>
      <c r="L3" s="7"/>
      <c r="M3" s="7"/>
      <c r="N3" s="7"/>
      <c r="O3" s="7"/>
    </row>
    <row r="4" ht="15.75" customHeight="1">
      <c r="A4" s="8"/>
      <c r="B4" s="11" t="s">
        <v>4</v>
      </c>
      <c r="C4" s="70">
        <v>2530.0</v>
      </c>
      <c r="D4" s="68">
        <v>0.0101</v>
      </c>
      <c r="E4" s="69">
        <f t="shared" ref="E4:E11" si="1">C4*D4</f>
        <v>25.553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ht="15.75" customHeight="1">
      <c r="A5" s="8"/>
      <c r="B5" s="9" t="s">
        <v>3</v>
      </c>
      <c r="C5" s="14">
        <v>2763.0</v>
      </c>
      <c r="D5" s="68">
        <v>0.0063</v>
      </c>
      <c r="E5" s="69">
        <f t="shared" si="1"/>
        <v>17.4069</v>
      </c>
      <c r="F5" s="2"/>
      <c r="G5" s="2"/>
      <c r="H5" s="2"/>
      <c r="I5" s="1"/>
      <c r="J5" s="1"/>
      <c r="K5" s="1"/>
      <c r="L5" s="1"/>
      <c r="M5" s="1"/>
      <c r="N5" s="1"/>
      <c r="O5" s="1"/>
    </row>
    <row r="6" ht="15.75" customHeight="1">
      <c r="A6" s="8"/>
      <c r="B6" s="9" t="s">
        <v>6</v>
      </c>
      <c r="C6" s="14">
        <v>444.0</v>
      </c>
      <c r="D6" s="68">
        <v>0.0321</v>
      </c>
      <c r="E6" s="69">
        <f t="shared" si="1"/>
        <v>14.2524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ht="15.75" customHeight="1">
      <c r="A7" s="8"/>
      <c r="B7" s="9" t="s">
        <v>5</v>
      </c>
      <c r="C7" s="14">
        <v>5702.0</v>
      </c>
      <c r="D7" s="68">
        <v>0.0022</v>
      </c>
      <c r="E7" s="69">
        <f t="shared" si="1"/>
        <v>12.5444</v>
      </c>
      <c r="F7" s="2"/>
      <c r="G7" s="2"/>
      <c r="H7" s="2"/>
      <c r="I7" s="1"/>
      <c r="J7" s="1"/>
      <c r="K7" s="1"/>
      <c r="L7" s="1"/>
      <c r="M7" s="1"/>
      <c r="N7" s="1"/>
      <c r="O7" s="1"/>
    </row>
    <row r="8" ht="15.75" customHeight="1">
      <c r="A8" s="8"/>
      <c r="B8" s="9" t="s">
        <v>7</v>
      </c>
      <c r="C8" s="70">
        <v>4028.0</v>
      </c>
      <c r="D8" s="68">
        <v>0.0029</v>
      </c>
      <c r="E8" s="69">
        <f t="shared" si="1"/>
        <v>11.6812</v>
      </c>
      <c r="F8" s="2"/>
      <c r="G8" s="2"/>
      <c r="H8" s="2"/>
      <c r="I8" s="1"/>
      <c r="J8" s="1"/>
      <c r="K8" s="1"/>
      <c r="L8" s="1"/>
      <c r="M8" s="1"/>
      <c r="N8" s="1"/>
      <c r="O8" s="1"/>
    </row>
    <row r="9" ht="15.75" customHeight="1">
      <c r="A9" s="8"/>
      <c r="B9" s="9" t="s">
        <v>8</v>
      </c>
      <c r="C9" s="70">
        <v>1921.0</v>
      </c>
      <c r="D9" s="68">
        <v>0.0031</v>
      </c>
      <c r="E9" s="69">
        <f t="shared" si="1"/>
        <v>5.9551</v>
      </c>
      <c r="F9" s="2"/>
      <c r="G9" s="2"/>
      <c r="H9" s="2"/>
      <c r="I9" s="1"/>
      <c r="J9" s="1"/>
      <c r="K9" s="1"/>
      <c r="L9" s="1"/>
      <c r="M9" s="1"/>
      <c r="N9" s="1"/>
      <c r="O9" s="1"/>
    </row>
    <row r="10" ht="15.75" customHeight="1">
      <c r="A10" s="8"/>
      <c r="B10" s="9" t="s">
        <v>9</v>
      </c>
      <c r="C10" s="14">
        <v>340.0</v>
      </c>
      <c r="D10" s="68">
        <v>0.0104</v>
      </c>
      <c r="E10" s="69">
        <f t="shared" si="1"/>
        <v>3.536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 ht="15.75" customHeight="1">
      <c r="A11" s="8"/>
      <c r="B11" s="9" t="s">
        <v>10</v>
      </c>
      <c r="C11" s="70">
        <v>4.0</v>
      </c>
      <c r="D11" s="68">
        <v>0.0</v>
      </c>
      <c r="E11" s="69">
        <f t="shared" si="1"/>
        <v>0</v>
      </c>
      <c r="F11" s="2"/>
      <c r="G11" s="2"/>
      <c r="H11" s="2"/>
      <c r="I11" s="1"/>
      <c r="J11" s="1"/>
      <c r="K11" s="1"/>
      <c r="L11" s="1"/>
      <c r="M11" s="1"/>
      <c r="N11" s="1"/>
      <c r="O11" s="1"/>
    </row>
    <row r="12" ht="15.75" customHeight="1">
      <c r="A12" s="8"/>
      <c r="B12" s="1"/>
      <c r="C12" s="2"/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15.75" customHeight="1">
      <c r="A13" s="8"/>
      <c r="B13" s="12" t="s">
        <v>11</v>
      </c>
      <c r="C13" s="65"/>
      <c r="D13" s="18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15.75" customHeight="1">
      <c r="B14" s="5" t="s">
        <v>1</v>
      </c>
      <c r="C14" s="6" t="s">
        <v>12</v>
      </c>
      <c r="D14" s="2"/>
      <c r="E14" s="7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5.75" customHeight="1">
      <c r="A15" s="13">
        <v>7.0</v>
      </c>
      <c r="B15" s="9" t="s">
        <v>13</v>
      </c>
      <c r="C15" s="14">
        <v>13000.0</v>
      </c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15.75" customHeight="1">
      <c r="A16" s="13"/>
      <c r="B16" s="11" t="s">
        <v>8</v>
      </c>
      <c r="C16" s="14">
        <v>4400.0</v>
      </c>
      <c r="D16" s="2"/>
      <c r="E16" s="2"/>
      <c r="F16" s="2"/>
      <c r="G16" s="2"/>
      <c r="H16" s="2"/>
      <c r="I16" s="2"/>
      <c r="J16" s="2"/>
      <c r="K16" s="1"/>
      <c r="L16" s="1"/>
      <c r="M16" s="1"/>
      <c r="N16" s="1"/>
      <c r="O16" s="1"/>
    </row>
    <row r="17" ht="15.75" customHeight="1">
      <c r="A17" s="13">
        <v>7.0</v>
      </c>
      <c r="B17" s="11" t="s">
        <v>7</v>
      </c>
      <c r="C17" s="14">
        <v>4100.0</v>
      </c>
      <c r="D17" s="2"/>
      <c r="E17" s="2"/>
      <c r="F17" s="2"/>
      <c r="G17" s="1"/>
      <c r="H17" s="1"/>
      <c r="I17" s="1"/>
      <c r="J17" s="1"/>
      <c r="K17" s="1"/>
      <c r="L17" s="1"/>
      <c r="M17" s="1"/>
      <c r="N17" s="1"/>
      <c r="O17" s="1"/>
    </row>
    <row r="18" ht="15.75" customHeight="1">
      <c r="A18" s="13">
        <v>7.0</v>
      </c>
      <c r="B18" s="11" t="s">
        <v>4</v>
      </c>
      <c r="C18" s="14">
        <v>759.0</v>
      </c>
      <c r="D18" s="2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</row>
    <row r="19" ht="15.75" customHeight="1">
      <c r="A19" s="13"/>
      <c r="B19" s="11" t="s">
        <v>9</v>
      </c>
      <c r="C19" s="14">
        <v>504.0</v>
      </c>
      <c r="D19" s="2"/>
      <c r="E19" s="2"/>
      <c r="F19" s="2"/>
      <c r="G19" s="2"/>
      <c r="H19" s="2"/>
      <c r="I19" s="2"/>
      <c r="J19" s="2"/>
      <c r="K19" s="1"/>
      <c r="L19" s="1"/>
      <c r="M19" s="1"/>
      <c r="N19" s="1"/>
      <c r="O19" s="1"/>
    </row>
    <row r="20" ht="15.75" customHeight="1">
      <c r="A20" s="13"/>
      <c r="B20" s="11" t="s">
        <v>10</v>
      </c>
      <c r="C20" s="14">
        <v>39.0</v>
      </c>
      <c r="D20" s="2"/>
      <c r="E20" s="2"/>
      <c r="F20" s="2"/>
      <c r="G20" s="2"/>
      <c r="H20" s="2"/>
      <c r="I20" s="2"/>
      <c r="J20" s="2"/>
      <c r="K20" s="1"/>
      <c r="L20" s="1"/>
      <c r="M20" s="1"/>
      <c r="N20" s="1"/>
      <c r="O20" s="1"/>
    </row>
    <row r="21" ht="15.75" customHeight="1">
      <c r="A21" s="13">
        <v>7.0</v>
      </c>
      <c r="B21" s="11" t="s">
        <v>3</v>
      </c>
      <c r="C21" s="14">
        <v>1.0</v>
      </c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5.75" customHeight="1">
      <c r="A22" s="13">
        <v>7.0</v>
      </c>
      <c r="B22" s="15" t="s">
        <v>6</v>
      </c>
      <c r="C22" s="14" t="s">
        <v>14</v>
      </c>
      <c r="D22" s="2"/>
      <c r="E22" s="2"/>
      <c r="F22" s="2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A23" s="13"/>
      <c r="B23" s="1"/>
      <c r="C23" s="2"/>
      <c r="D23" s="2"/>
      <c r="E23" s="2"/>
      <c r="F23" s="2"/>
      <c r="G23" s="2"/>
      <c r="H23" s="2"/>
      <c r="I23" s="2"/>
      <c r="J23" s="2"/>
      <c r="K23" s="1"/>
      <c r="L23" s="1"/>
      <c r="M23" s="1"/>
      <c r="N23" s="1"/>
      <c r="O23" s="1"/>
    </row>
    <row r="24" ht="15.75" customHeight="1">
      <c r="B24" s="16" t="s">
        <v>15</v>
      </c>
      <c r="C24" s="17"/>
      <c r="D24" s="17"/>
      <c r="E24" s="17"/>
      <c r="F24" s="17"/>
      <c r="G24" s="17"/>
      <c r="H24" s="17"/>
      <c r="I24" s="18"/>
      <c r="J24" s="18"/>
      <c r="K24" s="1"/>
      <c r="L24" s="1"/>
      <c r="M24" s="1"/>
      <c r="N24" s="1"/>
      <c r="O24" s="1"/>
    </row>
    <row r="25" ht="21.0" customHeight="1">
      <c r="B25" s="6" t="s">
        <v>1</v>
      </c>
      <c r="C25" s="6" t="s">
        <v>12</v>
      </c>
      <c r="D25" s="19" t="s">
        <v>85</v>
      </c>
      <c r="E25" s="72" t="s">
        <v>86</v>
      </c>
      <c r="F25" s="19" t="s">
        <v>87</v>
      </c>
      <c r="G25" s="73" t="s">
        <v>88</v>
      </c>
      <c r="H25" s="19" t="s">
        <v>2</v>
      </c>
      <c r="I25" s="1"/>
      <c r="J25" s="1"/>
      <c r="K25" s="1"/>
      <c r="L25" s="1"/>
      <c r="M25" s="1"/>
      <c r="N25" s="1"/>
      <c r="O25" s="1"/>
    </row>
    <row r="26" ht="15.75" customHeight="1">
      <c r="A26" s="8"/>
      <c r="B26" s="11" t="s">
        <v>6</v>
      </c>
      <c r="C26" s="14">
        <v>2299.0</v>
      </c>
      <c r="D26" s="14">
        <v>24.0</v>
      </c>
      <c r="E26" s="74">
        <f t="shared" ref="E26:E33" si="2">C26/D26</f>
        <v>95.79166667</v>
      </c>
      <c r="F26" s="14">
        <v>32.0</v>
      </c>
      <c r="G26" s="75">
        <f t="shared" ref="G26:G33" si="3">F26/C26</f>
        <v>0.01391909526</v>
      </c>
      <c r="H26" s="22">
        <f t="shared" ref="H26:H33" si="4">E26*G26</f>
        <v>1.333333333</v>
      </c>
      <c r="I26" s="1" t="s">
        <v>158</v>
      </c>
      <c r="J26" s="1"/>
      <c r="K26" s="1"/>
      <c r="L26" s="1"/>
      <c r="M26" s="1"/>
      <c r="N26" s="1"/>
      <c r="O26" s="1"/>
    </row>
    <row r="27" ht="15.75" customHeight="1">
      <c r="A27" s="8"/>
      <c r="B27" s="11" t="s">
        <v>5</v>
      </c>
      <c r="C27" s="14">
        <v>1077.0</v>
      </c>
      <c r="D27" s="14">
        <v>5.0</v>
      </c>
      <c r="E27" s="74">
        <f t="shared" si="2"/>
        <v>215.4</v>
      </c>
      <c r="F27" s="14">
        <v>4.0</v>
      </c>
      <c r="G27" s="75">
        <f t="shared" si="3"/>
        <v>0.003714020427</v>
      </c>
      <c r="H27" s="22">
        <f t="shared" si="4"/>
        <v>0.8</v>
      </c>
      <c r="I27" s="1" t="s">
        <v>159</v>
      </c>
      <c r="J27" s="1"/>
      <c r="K27" s="1"/>
      <c r="L27" s="1"/>
      <c r="M27" s="1"/>
      <c r="N27" s="1"/>
      <c r="O27" s="1"/>
    </row>
    <row r="28" ht="15.75" customHeight="1">
      <c r="A28" s="8"/>
      <c r="B28" s="11" t="s">
        <v>9</v>
      </c>
      <c r="C28" s="14">
        <v>945.0</v>
      </c>
      <c r="D28" s="14">
        <v>9.0</v>
      </c>
      <c r="E28" s="74">
        <f t="shared" si="2"/>
        <v>105</v>
      </c>
      <c r="F28" s="14">
        <v>7.0</v>
      </c>
      <c r="G28" s="75">
        <f t="shared" si="3"/>
        <v>0.007407407407</v>
      </c>
      <c r="H28" s="22">
        <f t="shared" si="4"/>
        <v>0.7777777778</v>
      </c>
      <c r="I28" s="1" t="s">
        <v>160</v>
      </c>
      <c r="J28" s="1"/>
      <c r="K28" s="1"/>
      <c r="L28" s="1"/>
      <c r="M28" s="1"/>
      <c r="N28" s="1"/>
      <c r="O28" s="1"/>
    </row>
    <row r="29" ht="15.75" customHeight="1">
      <c r="A29" s="8"/>
      <c r="B29" s="11" t="s">
        <v>7</v>
      </c>
      <c r="C29" s="14">
        <v>1892.0</v>
      </c>
      <c r="D29" s="14">
        <v>17.0</v>
      </c>
      <c r="E29" s="74">
        <f t="shared" si="2"/>
        <v>111.2941176</v>
      </c>
      <c r="F29" s="14">
        <v>2.0</v>
      </c>
      <c r="G29" s="75">
        <f t="shared" si="3"/>
        <v>0.001057082452</v>
      </c>
      <c r="H29" s="22">
        <f t="shared" si="4"/>
        <v>0.1176470588</v>
      </c>
      <c r="I29" s="1" t="s">
        <v>161</v>
      </c>
      <c r="J29" s="1"/>
      <c r="K29" s="1"/>
      <c r="L29" s="1"/>
      <c r="M29" s="1"/>
      <c r="N29" s="1"/>
      <c r="O29" s="1"/>
    </row>
    <row r="30" ht="15.75" customHeight="1">
      <c r="A30" s="8"/>
      <c r="B30" s="11" t="s">
        <v>8</v>
      </c>
      <c r="C30" s="14">
        <v>3598.0</v>
      </c>
      <c r="D30" s="14">
        <v>18.0</v>
      </c>
      <c r="E30" s="74">
        <f t="shared" si="2"/>
        <v>199.8888889</v>
      </c>
      <c r="F30" s="14">
        <v>1.0</v>
      </c>
      <c r="G30" s="75">
        <f t="shared" si="3"/>
        <v>0.0002779321845</v>
      </c>
      <c r="H30" s="22">
        <f t="shared" si="4"/>
        <v>0.05555555556</v>
      </c>
      <c r="I30" s="1" t="s">
        <v>159</v>
      </c>
      <c r="J30" s="1"/>
      <c r="K30" s="1"/>
      <c r="L30" s="1"/>
      <c r="M30" s="1"/>
      <c r="N30" s="1"/>
      <c r="O30" s="1"/>
    </row>
    <row r="31" ht="15.75" customHeight="1">
      <c r="A31" s="8"/>
      <c r="B31" s="11" t="s">
        <v>4</v>
      </c>
      <c r="C31" s="14">
        <v>727.0</v>
      </c>
      <c r="D31" s="14">
        <v>5.0</v>
      </c>
      <c r="E31" s="74">
        <f t="shared" si="2"/>
        <v>145.4</v>
      </c>
      <c r="F31" s="14">
        <v>0.0</v>
      </c>
      <c r="G31" s="75">
        <f t="shared" si="3"/>
        <v>0</v>
      </c>
      <c r="H31" s="22">
        <f t="shared" si="4"/>
        <v>0</v>
      </c>
      <c r="I31" s="1" t="s">
        <v>92</v>
      </c>
      <c r="J31" s="1"/>
      <c r="K31" s="1"/>
      <c r="L31" s="1"/>
      <c r="M31" s="1"/>
      <c r="N31" s="1"/>
      <c r="O31" s="1"/>
    </row>
    <row r="32" ht="15.75" customHeight="1">
      <c r="A32" s="8"/>
      <c r="B32" s="11" t="s">
        <v>10</v>
      </c>
      <c r="C32" s="14">
        <v>379.0</v>
      </c>
      <c r="D32" s="14">
        <v>2.0</v>
      </c>
      <c r="E32" s="74">
        <f t="shared" si="2"/>
        <v>189.5</v>
      </c>
      <c r="F32" s="14">
        <v>0.0</v>
      </c>
      <c r="G32" s="75">
        <f t="shared" si="3"/>
        <v>0</v>
      </c>
      <c r="H32" s="22">
        <f t="shared" si="4"/>
        <v>0</v>
      </c>
      <c r="I32" s="1" t="s">
        <v>92</v>
      </c>
      <c r="J32" s="1"/>
      <c r="K32" s="1"/>
      <c r="L32" s="1"/>
      <c r="M32" s="1"/>
      <c r="N32" s="1"/>
      <c r="O32" s="1"/>
    </row>
    <row r="33" ht="15.75" customHeight="1">
      <c r="A33" s="8"/>
      <c r="B33" s="11" t="s">
        <v>3</v>
      </c>
      <c r="C33" s="14">
        <v>332.0</v>
      </c>
      <c r="D33" s="35">
        <v>7.0</v>
      </c>
      <c r="E33" s="74">
        <f t="shared" si="2"/>
        <v>47.42857143</v>
      </c>
      <c r="F33" s="35">
        <v>0.0</v>
      </c>
      <c r="G33" s="75">
        <f t="shared" si="3"/>
        <v>0</v>
      </c>
      <c r="H33" s="22">
        <f t="shared" si="4"/>
        <v>0</v>
      </c>
      <c r="I33" s="1" t="s">
        <v>92</v>
      </c>
      <c r="J33" s="1"/>
      <c r="K33" s="1"/>
      <c r="L33" s="1"/>
      <c r="M33" s="1"/>
      <c r="N33" s="1"/>
      <c r="O33" s="1"/>
    </row>
    <row r="34" ht="15.75" customHeight="1">
      <c r="A34" s="8"/>
      <c r="B34" s="1"/>
      <c r="C34" s="2"/>
      <c r="D34" s="2"/>
      <c r="E34" s="2"/>
      <c r="F34" s="2"/>
      <c r="G34" s="2"/>
      <c r="H34" s="2"/>
      <c r="I34" s="2"/>
      <c r="J34" s="2"/>
      <c r="K34" s="1"/>
      <c r="L34" s="1"/>
      <c r="M34" s="1"/>
      <c r="N34" s="1"/>
      <c r="O34" s="1"/>
    </row>
    <row r="35" ht="15.75" customHeight="1">
      <c r="B35" s="23" t="s">
        <v>16</v>
      </c>
      <c r="C35" s="65"/>
      <c r="D35" s="65"/>
      <c r="E35" s="65"/>
      <c r="F35" s="65"/>
      <c r="G35" s="65"/>
      <c r="H35" s="24"/>
      <c r="I35" s="25"/>
      <c r="J35" s="25"/>
      <c r="K35" s="1"/>
      <c r="L35" s="1"/>
      <c r="M35" s="1"/>
      <c r="N35" s="1"/>
      <c r="O35" s="1"/>
    </row>
    <row r="36" ht="28.5" customHeight="1">
      <c r="A36" s="26"/>
      <c r="B36" s="27" t="s">
        <v>1</v>
      </c>
      <c r="C36" s="27" t="s">
        <v>93</v>
      </c>
      <c r="D36" s="27" t="s">
        <v>94</v>
      </c>
      <c r="E36" s="27" t="s">
        <v>95</v>
      </c>
      <c r="F36" s="27" t="s">
        <v>84</v>
      </c>
      <c r="G36" s="27" t="s">
        <v>2</v>
      </c>
      <c r="H36" s="28"/>
      <c r="I36" s="28"/>
      <c r="J36" s="28"/>
      <c r="K36" s="1"/>
      <c r="L36" s="1"/>
      <c r="M36" s="1"/>
      <c r="N36" s="29"/>
      <c r="O36" s="29"/>
    </row>
    <row r="37" ht="15.75" customHeight="1">
      <c r="A37" s="8"/>
      <c r="B37" s="11" t="s">
        <v>5</v>
      </c>
      <c r="C37" s="14">
        <v>177.0</v>
      </c>
      <c r="D37" s="35">
        <v>1.0</v>
      </c>
      <c r="E37" s="14">
        <v>10.0</v>
      </c>
      <c r="F37" s="76">
        <f t="shared" ref="F37:F38" si="5">SUM(E37/D37)</f>
        <v>10</v>
      </c>
      <c r="G37" s="22">
        <f t="shared" ref="G37:G42" si="6">F37/C37</f>
        <v>0.05649717514</v>
      </c>
      <c r="H37" s="1"/>
      <c r="I37" s="1"/>
      <c r="J37" s="1"/>
      <c r="K37" s="1"/>
      <c r="L37" s="1"/>
      <c r="M37" s="1"/>
      <c r="N37" s="29"/>
      <c r="O37" s="29"/>
    </row>
    <row r="38" ht="15.75" customHeight="1">
      <c r="A38" s="8"/>
      <c r="B38" s="11" t="s">
        <v>8</v>
      </c>
      <c r="C38" s="14">
        <v>3100.0</v>
      </c>
      <c r="D38" s="35">
        <v>1.0</v>
      </c>
      <c r="E38" s="14">
        <v>8.0</v>
      </c>
      <c r="F38" s="76">
        <f t="shared" si="5"/>
        <v>8</v>
      </c>
      <c r="G38" s="22">
        <f t="shared" si="6"/>
        <v>0.002580645161</v>
      </c>
      <c r="H38" s="1"/>
      <c r="I38" s="1"/>
      <c r="J38" s="1"/>
      <c r="K38" s="1"/>
      <c r="L38" s="1"/>
      <c r="M38" s="1"/>
      <c r="N38" s="29"/>
      <c r="O38" s="29"/>
    </row>
    <row r="39" ht="15.75" customHeight="1">
      <c r="A39" s="8"/>
      <c r="B39" s="11" t="s">
        <v>7</v>
      </c>
      <c r="C39" s="14">
        <v>27700.0</v>
      </c>
      <c r="D39" s="35">
        <v>0.0</v>
      </c>
      <c r="E39" s="14">
        <v>0.0</v>
      </c>
      <c r="F39" s="76">
        <v>0.0</v>
      </c>
      <c r="G39" s="22">
        <f t="shared" si="6"/>
        <v>0</v>
      </c>
      <c r="H39" s="1"/>
      <c r="I39" s="1"/>
      <c r="J39" s="1"/>
      <c r="K39" s="1"/>
      <c r="L39" s="1"/>
      <c r="M39" s="1"/>
      <c r="N39" s="29"/>
      <c r="O39" s="29"/>
    </row>
    <row r="40" ht="15.75" customHeight="1">
      <c r="A40" s="8"/>
      <c r="B40" s="11" t="s">
        <v>4</v>
      </c>
      <c r="C40" s="14">
        <v>25.0</v>
      </c>
      <c r="D40" s="35">
        <v>0.0</v>
      </c>
      <c r="E40" s="77">
        <v>0.0</v>
      </c>
      <c r="F40" s="76">
        <v>0.0</v>
      </c>
      <c r="G40" s="22">
        <f t="shared" si="6"/>
        <v>0</v>
      </c>
      <c r="H40" s="1"/>
      <c r="I40" s="1"/>
      <c r="J40" s="1"/>
      <c r="K40" s="1"/>
      <c r="L40" s="1"/>
      <c r="M40" s="1"/>
      <c r="N40" s="29"/>
      <c r="O40" s="29"/>
    </row>
    <row r="41" ht="15.75" customHeight="1">
      <c r="B41" s="11" t="s">
        <v>10</v>
      </c>
      <c r="C41" s="14">
        <v>10.0</v>
      </c>
      <c r="D41" s="35">
        <v>0.0</v>
      </c>
      <c r="E41" s="77">
        <v>0.0</v>
      </c>
      <c r="F41" s="76">
        <v>0.0</v>
      </c>
      <c r="G41" s="22">
        <f t="shared" si="6"/>
        <v>0</v>
      </c>
      <c r="H41" s="1"/>
      <c r="I41" s="1"/>
      <c r="J41" s="1"/>
      <c r="K41" s="1"/>
      <c r="L41" s="1"/>
      <c r="M41" s="1"/>
      <c r="N41" s="29"/>
      <c r="O41" s="29"/>
    </row>
    <row r="42" ht="15.75" customHeight="1">
      <c r="A42" s="8"/>
      <c r="B42" s="11" t="s">
        <v>3</v>
      </c>
      <c r="C42" s="14">
        <v>5.0</v>
      </c>
      <c r="D42" s="35">
        <v>0.0</v>
      </c>
      <c r="E42" s="14">
        <v>0.0</v>
      </c>
      <c r="F42" s="76">
        <v>0.0</v>
      </c>
      <c r="G42" s="22">
        <f t="shared" si="6"/>
        <v>0</v>
      </c>
      <c r="H42" s="1"/>
      <c r="I42" s="1"/>
      <c r="J42" s="1"/>
      <c r="K42" s="1"/>
      <c r="L42" s="1"/>
      <c r="M42" s="1"/>
      <c r="N42" s="29"/>
      <c r="O42" s="29"/>
    </row>
    <row r="43" ht="15.75" customHeight="1">
      <c r="A43" s="8"/>
      <c r="B43" s="30" t="s">
        <v>162</v>
      </c>
      <c r="C43" s="14" t="s">
        <v>14</v>
      </c>
      <c r="D43" s="35" t="s">
        <v>14</v>
      </c>
      <c r="E43" s="14" t="s">
        <v>14</v>
      </c>
      <c r="F43" s="14" t="s">
        <v>14</v>
      </c>
      <c r="G43" s="14" t="s">
        <v>14</v>
      </c>
      <c r="H43" s="1"/>
      <c r="I43" s="1"/>
      <c r="J43" s="1"/>
      <c r="K43" s="1"/>
      <c r="L43" s="1"/>
      <c r="M43" s="1"/>
      <c r="N43" s="29"/>
      <c r="O43" s="29"/>
    </row>
    <row r="44" ht="15.75" customHeight="1">
      <c r="B44" s="30" t="s">
        <v>163</v>
      </c>
      <c r="C44" s="14" t="s">
        <v>14</v>
      </c>
      <c r="D44" s="35" t="s">
        <v>14</v>
      </c>
      <c r="E44" s="14" t="s">
        <v>14</v>
      </c>
      <c r="F44" s="14" t="s">
        <v>14</v>
      </c>
      <c r="G44" s="14" t="s">
        <v>14</v>
      </c>
      <c r="H44" s="1"/>
      <c r="I44" s="1"/>
      <c r="J44" s="1"/>
      <c r="K44" s="1"/>
      <c r="L44" s="1"/>
      <c r="M44" s="1"/>
      <c r="N44" s="29"/>
      <c r="O44" s="29"/>
    </row>
    <row r="45" ht="15.75" customHeight="1">
      <c r="B45" s="1"/>
      <c r="C45" s="78"/>
      <c r="D45" s="79"/>
      <c r="E45" s="79"/>
      <c r="F45" s="79"/>
      <c r="G45" s="78"/>
      <c r="H45" s="2"/>
      <c r="I45" s="2"/>
      <c r="J45" s="2"/>
      <c r="K45" s="1"/>
      <c r="L45" s="1"/>
      <c r="M45" s="1"/>
      <c r="N45" s="1"/>
      <c r="O45" s="1"/>
    </row>
  </sheetData>
  <mergeCells count="4">
    <mergeCell ref="B2:E2"/>
    <mergeCell ref="B13:C13"/>
    <mergeCell ref="B24:H24"/>
    <mergeCell ref="B35:G35"/>
  </mergeCells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7"/>
    <hyperlink r:id="rId26" ref="B38"/>
    <hyperlink r:id="rId27" ref="B39"/>
    <hyperlink r:id="rId28" ref="B40"/>
    <hyperlink r:id="rId29" ref="E40"/>
    <hyperlink r:id="rId30" ref="B41"/>
    <hyperlink r:id="rId31" ref="E41"/>
    <hyperlink r:id="rId32" ref="B42"/>
  </hyperlinks>
  <printOptions/>
  <pageMargins bottom="0.787401575" footer="0.0" header="0.0" left="0.511811024" right="0.511811024" top="0.787401575"/>
  <pageSetup orientation="landscape"/>
  <drawing r:id="rId3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8.0"/>
    <col customWidth="1" min="3" max="6" width="10.0"/>
    <col customWidth="1" min="7" max="7" width="10.22"/>
    <col customWidth="1" min="8" max="8" width="10.0"/>
    <col customWidth="1" min="9" max="9" width="9.89"/>
    <col customWidth="1" min="10" max="12" width="10.44"/>
    <col customWidth="1" min="13" max="13" width="11.44"/>
    <col customWidth="1" min="14" max="14" width="10.44"/>
    <col customWidth="1" min="15" max="15" width="5.33"/>
  </cols>
  <sheetData>
    <row r="1" ht="10.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75" customHeight="1">
      <c r="B2" s="80" t="s">
        <v>22</v>
      </c>
      <c r="C2" s="5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5.75" customHeight="1">
      <c r="B3" s="6" t="s">
        <v>1</v>
      </c>
      <c r="C3" s="6" t="s">
        <v>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5.75" customHeight="1">
      <c r="A4" s="8"/>
      <c r="B4" s="34" t="s">
        <v>164</v>
      </c>
      <c r="C4" s="35">
        <v>79.0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15.75" customHeight="1">
      <c r="A5" s="8"/>
      <c r="B5" s="34" t="s">
        <v>165</v>
      </c>
      <c r="C5" s="35">
        <v>75.0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15.75" customHeight="1">
      <c r="A6" s="8"/>
      <c r="B6" s="11" t="s">
        <v>4</v>
      </c>
      <c r="C6" s="35">
        <v>71.0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ht="15.75" customHeight="1">
      <c r="A7" s="8"/>
      <c r="B7" s="34" t="s">
        <v>166</v>
      </c>
      <c r="C7" s="35">
        <v>71.0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5.75" customHeight="1">
      <c r="B8" s="34" t="s">
        <v>167</v>
      </c>
      <c r="C8" s="35">
        <v>68.0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ht="15.75" customHeight="1">
      <c r="B9" s="11" t="s">
        <v>5</v>
      </c>
      <c r="C9" s="35">
        <v>67.0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ht="15.75" customHeight="1">
      <c r="B10" s="34" t="s">
        <v>168</v>
      </c>
      <c r="C10" s="35">
        <v>57.0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ht="15.75" customHeight="1">
      <c r="A11" s="8"/>
      <c r="B11" s="34" t="s">
        <v>169</v>
      </c>
      <c r="C11" s="35">
        <v>0.0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ht="15.7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ht="15.75" customHeight="1">
      <c r="B13" s="81" t="s">
        <v>30</v>
      </c>
      <c r="C13" s="65"/>
      <c r="D13" s="65"/>
      <c r="E13" s="5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ht="15.75" customHeight="1">
      <c r="B14" s="6" t="s">
        <v>1</v>
      </c>
      <c r="C14" s="6" t="s">
        <v>104</v>
      </c>
      <c r="D14" s="6" t="s">
        <v>105</v>
      </c>
      <c r="E14" s="37" t="s">
        <v>31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5.75" customHeight="1">
      <c r="B15" s="34" t="s">
        <v>170</v>
      </c>
      <c r="C15" s="35">
        <v>95.0</v>
      </c>
      <c r="D15" s="35">
        <v>100.0</v>
      </c>
      <c r="E15" s="82">
        <f t="shared" ref="E15:E22" si="1">SUM(D15,C15)/2</f>
        <v>97.5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15.75" customHeight="1">
      <c r="B16" s="34" t="s">
        <v>171</v>
      </c>
      <c r="C16" s="35">
        <v>78.0</v>
      </c>
      <c r="D16" s="35">
        <v>94.0</v>
      </c>
      <c r="E16" s="82">
        <f t="shared" si="1"/>
        <v>86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ht="15.75" customHeight="1">
      <c r="B17" s="34" t="s">
        <v>172</v>
      </c>
      <c r="C17" s="35">
        <v>68.0</v>
      </c>
      <c r="D17" s="35">
        <v>93.0</v>
      </c>
      <c r="E17" s="82">
        <f t="shared" si="1"/>
        <v>80.5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ht="15.75" customHeight="1">
      <c r="B18" s="11" t="s">
        <v>4</v>
      </c>
      <c r="C18" s="35">
        <v>65.0</v>
      </c>
      <c r="D18" s="35">
        <v>74.0</v>
      </c>
      <c r="E18" s="82">
        <f t="shared" si="1"/>
        <v>69.5</v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.75" customHeight="1">
      <c r="B19" s="34" t="s">
        <v>173</v>
      </c>
      <c r="C19" s="35">
        <v>50.0</v>
      </c>
      <c r="D19" s="35">
        <v>85.0</v>
      </c>
      <c r="E19" s="82">
        <f t="shared" si="1"/>
        <v>67.5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0" ht="15.75" customHeight="1">
      <c r="B20" s="11" t="s">
        <v>5</v>
      </c>
      <c r="C20" s="35">
        <v>20.0</v>
      </c>
      <c r="D20" s="35">
        <v>98.0</v>
      </c>
      <c r="E20" s="82">
        <f t="shared" si="1"/>
        <v>59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15.75" customHeight="1">
      <c r="B21" s="34" t="s">
        <v>174</v>
      </c>
      <c r="C21" s="35">
        <v>30.0</v>
      </c>
      <c r="D21" s="35">
        <v>73.0</v>
      </c>
      <c r="E21" s="82">
        <f t="shared" si="1"/>
        <v>51.5</v>
      </c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5.75" customHeight="1">
      <c r="B22" s="34" t="s">
        <v>175</v>
      </c>
      <c r="C22" s="35">
        <v>31.0</v>
      </c>
      <c r="D22" s="35">
        <v>20.0</v>
      </c>
      <c r="E22" s="82">
        <f t="shared" si="1"/>
        <v>25.5</v>
      </c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5.75" customHeight="1">
      <c r="B24" s="50" t="s">
        <v>38</v>
      </c>
      <c r="C24" s="65"/>
      <c r="D24" s="65"/>
      <c r="E24" s="65"/>
      <c r="F24" s="51"/>
      <c r="G24" s="1"/>
      <c r="H24" s="1"/>
      <c r="I24" s="1"/>
      <c r="J24" s="1"/>
      <c r="K24" s="1"/>
      <c r="L24" s="1"/>
      <c r="M24" s="1"/>
      <c r="N24" s="1"/>
      <c r="O24" s="1"/>
    </row>
    <row r="25" ht="15.75" customHeight="1">
      <c r="A25" s="13">
        <v>5.0</v>
      </c>
      <c r="B25" s="6" t="s">
        <v>1</v>
      </c>
      <c r="C25" s="6" t="s">
        <v>112</v>
      </c>
      <c r="D25" s="6" t="s">
        <v>113</v>
      </c>
      <c r="E25" s="6" t="s">
        <v>114</v>
      </c>
      <c r="F25" s="6" t="s">
        <v>2</v>
      </c>
      <c r="G25" s="1"/>
      <c r="H25" s="1"/>
      <c r="I25" s="1"/>
      <c r="J25" s="1"/>
      <c r="K25" s="1"/>
      <c r="L25" s="1"/>
      <c r="M25" s="1"/>
      <c r="N25" s="1"/>
      <c r="O25" s="1"/>
    </row>
    <row r="26" ht="15.75" customHeight="1">
      <c r="A26" s="8"/>
      <c r="B26" s="11" t="s">
        <v>4</v>
      </c>
      <c r="C26" s="35">
        <v>4.9</v>
      </c>
      <c r="D26" s="83">
        <f t="shared" ref="D26:D32" si="2">C26/$A$25</f>
        <v>0.98</v>
      </c>
      <c r="E26" s="35">
        <v>165.0</v>
      </c>
      <c r="F26" s="41">
        <f t="shared" ref="F26:F32" si="3">D26*E26</f>
        <v>161.7</v>
      </c>
      <c r="G26" s="1"/>
      <c r="H26" s="1"/>
      <c r="I26" s="1"/>
      <c r="J26" s="1"/>
      <c r="K26" s="1"/>
      <c r="L26" s="1"/>
      <c r="M26" s="1"/>
      <c r="N26" s="1"/>
      <c r="O26" s="1"/>
    </row>
    <row r="27" ht="15.75" customHeight="1">
      <c r="A27" s="8"/>
      <c r="B27" s="11" t="s">
        <v>8</v>
      </c>
      <c r="C27" s="35">
        <v>4.1</v>
      </c>
      <c r="D27" s="83">
        <f t="shared" si="2"/>
        <v>0.82</v>
      </c>
      <c r="E27" s="35">
        <v>32.0</v>
      </c>
      <c r="F27" s="41">
        <f t="shared" si="3"/>
        <v>26.24</v>
      </c>
      <c r="G27" s="1"/>
      <c r="H27" s="1"/>
      <c r="I27" s="1"/>
      <c r="J27" s="1"/>
      <c r="K27" s="1"/>
      <c r="L27" s="1"/>
      <c r="M27" s="1"/>
      <c r="N27" s="1"/>
      <c r="O27" s="1"/>
    </row>
    <row r="28" ht="15.75" customHeight="1">
      <c r="B28" s="11" t="s">
        <v>5</v>
      </c>
      <c r="C28" s="35">
        <v>5.0</v>
      </c>
      <c r="D28" s="83">
        <f t="shared" si="2"/>
        <v>1</v>
      </c>
      <c r="E28" s="35">
        <v>23.0</v>
      </c>
      <c r="F28" s="41">
        <f t="shared" si="3"/>
        <v>23</v>
      </c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8"/>
      <c r="B29" s="11" t="s">
        <v>6</v>
      </c>
      <c r="C29" s="35">
        <v>5.0</v>
      </c>
      <c r="D29" s="83">
        <f t="shared" si="2"/>
        <v>1</v>
      </c>
      <c r="E29" s="35">
        <v>17.0</v>
      </c>
      <c r="F29" s="41">
        <f t="shared" si="3"/>
        <v>17</v>
      </c>
      <c r="G29" s="1"/>
      <c r="H29" s="1"/>
      <c r="I29" s="1"/>
      <c r="J29" s="1"/>
      <c r="K29" s="1"/>
      <c r="L29" s="1"/>
      <c r="M29" s="1"/>
      <c r="N29" s="1"/>
      <c r="O29" s="1"/>
    </row>
    <row r="30" ht="15.75" customHeight="1">
      <c r="A30" s="8"/>
      <c r="B30" s="11" t="s">
        <v>3</v>
      </c>
      <c r="C30" s="35">
        <v>5.0</v>
      </c>
      <c r="D30" s="83">
        <f t="shared" si="2"/>
        <v>1</v>
      </c>
      <c r="E30" s="35">
        <v>6.0</v>
      </c>
      <c r="F30" s="41">
        <f t="shared" si="3"/>
        <v>6</v>
      </c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B31" s="11" t="s">
        <v>7</v>
      </c>
      <c r="C31" s="35">
        <v>3.7</v>
      </c>
      <c r="D31" s="83">
        <f t="shared" si="2"/>
        <v>0.74</v>
      </c>
      <c r="E31" s="35">
        <v>6.0</v>
      </c>
      <c r="F31" s="41">
        <f t="shared" si="3"/>
        <v>4.44</v>
      </c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A32" s="8"/>
      <c r="B32" s="11" t="s">
        <v>9</v>
      </c>
      <c r="C32" s="35">
        <v>0.0</v>
      </c>
      <c r="D32" s="83">
        <f t="shared" si="2"/>
        <v>0</v>
      </c>
      <c r="E32" s="35">
        <v>0.0</v>
      </c>
      <c r="F32" s="41">
        <f t="shared" si="3"/>
        <v>0</v>
      </c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8"/>
      <c r="B33" s="30" t="s">
        <v>176</v>
      </c>
      <c r="C33" s="35" t="s">
        <v>14</v>
      </c>
      <c r="D33" s="83">
        <v>0.0</v>
      </c>
      <c r="E33" s="35" t="s">
        <v>14</v>
      </c>
      <c r="F33" s="41">
        <v>0.0</v>
      </c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B35" s="37" t="s">
        <v>40</v>
      </c>
      <c r="C35" s="37" t="s">
        <v>23</v>
      </c>
      <c r="D35" s="37" t="s">
        <v>41</v>
      </c>
      <c r="E35" s="37" t="s">
        <v>42</v>
      </c>
      <c r="F35" s="84" t="s">
        <v>43</v>
      </c>
      <c r="G35" s="84" t="s">
        <v>44</v>
      </c>
      <c r="H35" s="84" t="s">
        <v>45</v>
      </c>
      <c r="I35" s="85" t="s">
        <v>46</v>
      </c>
      <c r="J35" s="1"/>
      <c r="K35" s="1"/>
      <c r="L35" s="1"/>
      <c r="M35" s="1"/>
      <c r="N35" s="1"/>
      <c r="O35" s="1"/>
    </row>
    <row r="36" ht="15.75" customHeight="1">
      <c r="B36" s="37">
        <v>8.0</v>
      </c>
      <c r="C36" s="34" t="s">
        <v>177</v>
      </c>
      <c r="D36" s="34" t="s">
        <v>178</v>
      </c>
      <c r="E36" s="11" t="s">
        <v>4</v>
      </c>
      <c r="F36" s="11" t="s">
        <v>4</v>
      </c>
      <c r="G36" s="9" t="s">
        <v>13</v>
      </c>
      <c r="H36" s="11" t="s">
        <v>6</v>
      </c>
      <c r="I36" s="11" t="s">
        <v>5</v>
      </c>
      <c r="J36" s="86"/>
      <c r="K36" s="1"/>
      <c r="L36" s="1"/>
      <c r="M36" s="1"/>
      <c r="N36" s="1"/>
      <c r="O36" s="1"/>
    </row>
    <row r="37" ht="15.75" customHeight="1">
      <c r="B37" s="37">
        <v>7.0</v>
      </c>
      <c r="C37" s="34" t="s">
        <v>179</v>
      </c>
      <c r="D37" s="34" t="s">
        <v>180</v>
      </c>
      <c r="E37" s="11" t="s">
        <v>8</v>
      </c>
      <c r="F37" s="9" t="s">
        <v>3</v>
      </c>
      <c r="G37" s="11" t="s">
        <v>8</v>
      </c>
      <c r="H37" s="11" t="s">
        <v>5</v>
      </c>
      <c r="I37" s="11" t="s">
        <v>8</v>
      </c>
      <c r="J37" s="86"/>
      <c r="K37" s="1"/>
      <c r="L37" s="1"/>
      <c r="M37" s="1"/>
      <c r="N37" s="1"/>
      <c r="O37" s="1"/>
    </row>
    <row r="38" ht="15.75" customHeight="1">
      <c r="B38" s="37">
        <v>6.0</v>
      </c>
      <c r="C38" s="11" t="s">
        <v>4</v>
      </c>
      <c r="D38" s="34" t="s">
        <v>181</v>
      </c>
      <c r="E38" s="11" t="s">
        <v>5</v>
      </c>
      <c r="F38" s="9" t="s">
        <v>6</v>
      </c>
      <c r="G38" s="11" t="s">
        <v>7</v>
      </c>
      <c r="H38" s="11" t="s">
        <v>9</v>
      </c>
      <c r="I38" s="11" t="s">
        <v>7</v>
      </c>
      <c r="J38" s="86"/>
      <c r="K38" s="1"/>
      <c r="L38" s="1"/>
      <c r="M38" s="1"/>
      <c r="N38" s="1"/>
      <c r="O38" s="1"/>
    </row>
    <row r="39" ht="15.75" customHeight="1">
      <c r="B39" s="37">
        <v>5.0</v>
      </c>
      <c r="C39" s="34" t="s">
        <v>182</v>
      </c>
      <c r="D39" s="11" t="s">
        <v>4</v>
      </c>
      <c r="E39" s="11" t="s">
        <v>6</v>
      </c>
      <c r="F39" s="9" t="s">
        <v>5</v>
      </c>
      <c r="G39" s="11" t="s">
        <v>4</v>
      </c>
      <c r="H39" s="11" t="s">
        <v>7</v>
      </c>
      <c r="I39" s="11" t="s">
        <v>4</v>
      </c>
      <c r="J39" s="86"/>
      <c r="K39" s="1"/>
      <c r="L39" s="1"/>
      <c r="M39" s="1"/>
      <c r="N39" s="1"/>
      <c r="O39" s="1"/>
    </row>
    <row r="40" ht="15.75" customHeight="1">
      <c r="B40" s="37">
        <v>4.0</v>
      </c>
      <c r="C40" s="34" t="s">
        <v>183</v>
      </c>
      <c r="D40" s="34" t="s">
        <v>184</v>
      </c>
      <c r="E40" s="11" t="s">
        <v>3</v>
      </c>
      <c r="F40" s="9" t="s">
        <v>7</v>
      </c>
      <c r="G40" s="11" t="s">
        <v>9</v>
      </c>
      <c r="H40" s="11" t="s">
        <v>8</v>
      </c>
      <c r="I40" s="11" t="s">
        <v>10</v>
      </c>
      <c r="J40" s="86"/>
      <c r="K40" s="1"/>
      <c r="L40" s="1"/>
      <c r="M40" s="1"/>
      <c r="N40" s="1"/>
      <c r="O40" s="1"/>
    </row>
    <row r="41" ht="15.75" customHeight="1">
      <c r="B41" s="37">
        <v>3.0</v>
      </c>
      <c r="C41" s="11" t="s">
        <v>5</v>
      </c>
      <c r="D41" s="11" t="s">
        <v>5</v>
      </c>
      <c r="E41" s="11" t="s">
        <v>7</v>
      </c>
      <c r="F41" s="9" t="s">
        <v>8</v>
      </c>
      <c r="G41" s="11" t="s">
        <v>10</v>
      </c>
      <c r="H41" s="11" t="s">
        <v>4</v>
      </c>
      <c r="I41" s="11" t="s">
        <v>3</v>
      </c>
      <c r="J41" s="86"/>
      <c r="K41" s="1"/>
      <c r="L41" s="1"/>
      <c r="M41" s="1"/>
      <c r="N41" s="1"/>
      <c r="O41" s="1"/>
    </row>
    <row r="42" ht="15.75" customHeight="1">
      <c r="B42" s="37">
        <v>2.0</v>
      </c>
      <c r="C42" s="34" t="s">
        <v>185</v>
      </c>
      <c r="D42" s="34" t="s">
        <v>186</v>
      </c>
      <c r="E42" s="11" t="s">
        <v>9</v>
      </c>
      <c r="F42" s="9" t="s">
        <v>9</v>
      </c>
      <c r="G42" s="11" t="s">
        <v>3</v>
      </c>
      <c r="H42" s="11" t="s">
        <v>10</v>
      </c>
      <c r="I42" s="30" t="s">
        <v>187</v>
      </c>
      <c r="J42" s="86"/>
      <c r="K42" s="1"/>
      <c r="L42" s="1"/>
      <c r="M42" s="1"/>
      <c r="N42" s="1"/>
      <c r="O42" s="1"/>
    </row>
    <row r="43" ht="15.75" customHeight="1">
      <c r="B43" s="37">
        <v>1.0</v>
      </c>
      <c r="C43" s="34" t="s">
        <v>188</v>
      </c>
      <c r="D43" s="34" t="s">
        <v>189</v>
      </c>
      <c r="E43" s="30" t="s">
        <v>190</v>
      </c>
      <c r="F43" s="9" t="s">
        <v>10</v>
      </c>
      <c r="G43" s="15" t="s">
        <v>6</v>
      </c>
      <c r="H43" s="11" t="s">
        <v>3</v>
      </c>
      <c r="I43" s="30" t="s">
        <v>191</v>
      </c>
      <c r="J43" s="86"/>
      <c r="K43" s="1"/>
      <c r="L43" s="1"/>
      <c r="M43" s="1"/>
      <c r="N43" s="1"/>
      <c r="O43" s="1"/>
    </row>
    <row r="44" ht="15.75" customHeight="1">
      <c r="B44" s="1"/>
      <c r="C44" s="1"/>
      <c r="D44" s="1"/>
      <c r="E44" s="1"/>
      <c r="F44" s="1"/>
      <c r="G44" s="1"/>
      <c r="H44" s="87"/>
      <c r="I44" s="86"/>
      <c r="J44" s="1"/>
      <c r="K44" s="1"/>
      <c r="L44" s="1"/>
      <c r="M44" s="1"/>
      <c r="N44" s="1"/>
      <c r="O44" s="1"/>
    </row>
    <row r="45" ht="15.75" customHeight="1">
      <c r="B45" s="50" t="s">
        <v>62</v>
      </c>
      <c r="C45" s="65"/>
      <c r="D45" s="65"/>
      <c r="E45" s="65"/>
      <c r="F45" s="65"/>
      <c r="G45" s="65"/>
      <c r="H45" s="65"/>
      <c r="I45" s="65"/>
      <c r="J45" s="51"/>
      <c r="K45" s="1"/>
      <c r="L45" s="1"/>
      <c r="M45" s="1"/>
      <c r="N45" s="1"/>
      <c r="O45" s="1"/>
    </row>
    <row r="46" ht="15.75" customHeight="1">
      <c r="B46" s="37" t="s">
        <v>1</v>
      </c>
      <c r="C46" s="84" t="s">
        <v>23</v>
      </c>
      <c r="D46" s="37" t="s">
        <v>41</v>
      </c>
      <c r="E46" s="37" t="s">
        <v>42</v>
      </c>
      <c r="F46" s="84" t="s">
        <v>43</v>
      </c>
      <c r="G46" s="84" t="s">
        <v>44</v>
      </c>
      <c r="H46" s="84" t="s">
        <v>45</v>
      </c>
      <c r="I46" s="37" t="s">
        <v>46</v>
      </c>
      <c r="J46" s="37" t="s">
        <v>63</v>
      </c>
      <c r="K46" s="1"/>
      <c r="L46" s="1"/>
      <c r="M46" s="1"/>
      <c r="N46" s="1"/>
      <c r="O46" s="1"/>
    </row>
    <row r="47" ht="15.75" customHeight="1">
      <c r="A47" s="52"/>
      <c r="B47" s="11" t="s">
        <v>5</v>
      </c>
      <c r="C47" s="88">
        <v>3.0</v>
      </c>
      <c r="D47" s="88">
        <v>3.0</v>
      </c>
      <c r="E47" s="88">
        <v>6.0</v>
      </c>
      <c r="F47" s="89">
        <v>5.0</v>
      </c>
      <c r="G47" s="89">
        <v>8.0</v>
      </c>
      <c r="H47" s="89">
        <v>7.0</v>
      </c>
      <c r="I47" s="88">
        <v>8.0</v>
      </c>
      <c r="J47" s="41">
        <f t="shared" ref="J47:J54" si="4">SUM(C47:I47)</f>
        <v>40</v>
      </c>
      <c r="K47" s="1"/>
      <c r="L47" s="1"/>
      <c r="M47" s="1"/>
      <c r="N47" s="1"/>
      <c r="O47" s="1"/>
    </row>
    <row r="48" ht="15.75" customHeight="1">
      <c r="A48" s="54"/>
      <c r="B48" s="11" t="s">
        <v>4</v>
      </c>
      <c r="C48" s="88">
        <v>6.0</v>
      </c>
      <c r="D48" s="88">
        <v>5.0</v>
      </c>
      <c r="E48" s="88">
        <v>8.0</v>
      </c>
      <c r="F48" s="89">
        <v>8.0</v>
      </c>
      <c r="G48" s="89">
        <v>5.0</v>
      </c>
      <c r="H48" s="89">
        <v>3.0</v>
      </c>
      <c r="I48" s="88">
        <v>5.0</v>
      </c>
      <c r="J48" s="41">
        <f t="shared" si="4"/>
        <v>40</v>
      </c>
      <c r="K48" s="1"/>
      <c r="L48" s="1"/>
      <c r="M48" s="1"/>
      <c r="N48" s="1"/>
      <c r="O48" s="1"/>
    </row>
    <row r="49" ht="15.75" customHeight="1">
      <c r="A49" s="52"/>
      <c r="B49" s="34" t="s">
        <v>192</v>
      </c>
      <c r="C49" s="88">
        <v>5.0</v>
      </c>
      <c r="D49" s="88">
        <v>4.0</v>
      </c>
      <c r="E49" s="88">
        <v>7.0</v>
      </c>
      <c r="F49" s="89">
        <v>3.0</v>
      </c>
      <c r="G49" s="89">
        <v>7.0</v>
      </c>
      <c r="H49" s="89">
        <v>4.0</v>
      </c>
      <c r="I49" s="88">
        <v>7.0</v>
      </c>
      <c r="J49" s="41">
        <f t="shared" si="4"/>
        <v>37</v>
      </c>
      <c r="K49" s="1"/>
      <c r="L49" s="1"/>
      <c r="M49" s="1"/>
      <c r="N49" s="1"/>
      <c r="O49" s="1"/>
    </row>
    <row r="50" ht="15.75" customHeight="1">
      <c r="A50" s="52"/>
      <c r="B50" s="34" t="s">
        <v>193</v>
      </c>
      <c r="C50" s="88">
        <v>7.0</v>
      </c>
      <c r="D50" s="88">
        <v>1.0</v>
      </c>
      <c r="E50" s="88">
        <v>3.0</v>
      </c>
      <c r="F50" s="89">
        <v>4.0</v>
      </c>
      <c r="G50" s="89">
        <v>6.0</v>
      </c>
      <c r="H50" s="89">
        <v>5.0</v>
      </c>
      <c r="I50" s="88">
        <v>6.0</v>
      </c>
      <c r="J50" s="41">
        <f t="shared" si="4"/>
        <v>32</v>
      </c>
      <c r="K50" s="1"/>
      <c r="L50" s="1"/>
      <c r="M50" s="1"/>
      <c r="N50" s="1"/>
      <c r="O50" s="1"/>
    </row>
    <row r="51" ht="15.75" customHeight="1">
      <c r="A51" s="54"/>
      <c r="B51" s="34" t="s">
        <v>194</v>
      </c>
      <c r="C51" s="88">
        <v>8.0</v>
      </c>
      <c r="D51" s="88">
        <v>7.0</v>
      </c>
      <c r="E51" s="88">
        <v>4.0</v>
      </c>
      <c r="F51" s="89">
        <v>7.0</v>
      </c>
      <c r="G51" s="89">
        <v>2.0</v>
      </c>
      <c r="H51" s="89">
        <v>1.0</v>
      </c>
      <c r="I51" s="88">
        <v>3.0</v>
      </c>
      <c r="J51" s="41">
        <f t="shared" si="4"/>
        <v>32</v>
      </c>
      <c r="K51" s="1"/>
      <c r="L51" s="1"/>
      <c r="M51" s="1"/>
      <c r="N51" s="1"/>
      <c r="O51" s="1"/>
    </row>
    <row r="52" ht="15.75" customHeight="1">
      <c r="B52" s="34" t="s">
        <v>195</v>
      </c>
      <c r="C52" s="88">
        <v>2.0</v>
      </c>
      <c r="D52" s="88">
        <v>6.0</v>
      </c>
      <c r="E52" s="88">
        <v>5.0</v>
      </c>
      <c r="F52" s="88">
        <v>6.0</v>
      </c>
      <c r="G52" s="88">
        <v>1.0</v>
      </c>
      <c r="H52" s="88">
        <v>8.0</v>
      </c>
      <c r="I52" s="88">
        <v>1.0</v>
      </c>
      <c r="J52" s="41">
        <f t="shared" si="4"/>
        <v>29</v>
      </c>
      <c r="K52" s="1"/>
      <c r="L52" s="1"/>
      <c r="M52" s="1"/>
      <c r="N52" s="1"/>
      <c r="O52" s="1"/>
    </row>
    <row r="53" ht="15.75" customHeight="1">
      <c r="A53" s="54"/>
      <c r="B53" s="34" t="s">
        <v>196</v>
      </c>
      <c r="C53" s="88">
        <v>4.0</v>
      </c>
      <c r="D53" s="88">
        <v>8.0</v>
      </c>
      <c r="E53" s="88">
        <v>2.0</v>
      </c>
      <c r="F53" s="89">
        <v>2.0</v>
      </c>
      <c r="G53" s="89">
        <v>4.0</v>
      </c>
      <c r="H53" s="89">
        <v>6.0</v>
      </c>
      <c r="I53" s="88">
        <v>2.0</v>
      </c>
      <c r="J53" s="41">
        <f t="shared" si="4"/>
        <v>28</v>
      </c>
      <c r="K53" s="1"/>
      <c r="L53" s="1"/>
      <c r="M53" s="1"/>
      <c r="N53" s="1"/>
      <c r="O53" s="1"/>
    </row>
    <row r="54" ht="15.75" customHeight="1">
      <c r="B54" s="34" t="s">
        <v>197</v>
      </c>
      <c r="C54" s="88">
        <v>1.0</v>
      </c>
      <c r="D54" s="88">
        <v>2.0</v>
      </c>
      <c r="E54" s="88">
        <v>1.0</v>
      </c>
      <c r="F54" s="88">
        <v>1.0</v>
      </c>
      <c r="G54" s="88">
        <v>3.0</v>
      </c>
      <c r="H54" s="88">
        <v>2.0</v>
      </c>
      <c r="I54" s="88">
        <v>4.0</v>
      </c>
      <c r="J54" s="41">
        <f t="shared" si="4"/>
        <v>14</v>
      </c>
      <c r="K54" s="1"/>
      <c r="L54" s="1"/>
      <c r="M54" s="1"/>
      <c r="N54" s="1"/>
      <c r="O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57"/>
      <c r="B56" s="58" t="s">
        <v>70</v>
      </c>
      <c r="C56" s="65"/>
      <c r="D56" s="65"/>
      <c r="E56" s="65"/>
      <c r="F56" s="65"/>
      <c r="G56" s="65"/>
      <c r="H56" s="65"/>
      <c r="I56" s="65"/>
      <c r="J56" s="51"/>
      <c r="K56" s="1"/>
      <c r="L56" s="1"/>
      <c r="M56" s="1"/>
      <c r="N56" s="1"/>
      <c r="O56" s="1"/>
    </row>
    <row r="57" ht="15.75" customHeight="1">
      <c r="A57" s="57"/>
      <c r="B57" s="37" t="s">
        <v>1</v>
      </c>
      <c r="C57" s="90" t="s">
        <v>23</v>
      </c>
      <c r="D57" s="37" t="s">
        <v>41</v>
      </c>
      <c r="E57" s="37" t="s">
        <v>42</v>
      </c>
      <c r="F57" s="91" t="s">
        <v>43</v>
      </c>
      <c r="G57" s="91" t="s">
        <v>44</v>
      </c>
      <c r="H57" s="91" t="s">
        <v>45</v>
      </c>
      <c r="I57" s="92" t="s">
        <v>46</v>
      </c>
      <c r="J57" s="37" t="s">
        <v>63</v>
      </c>
      <c r="K57" s="1"/>
      <c r="L57" s="1"/>
      <c r="M57" s="1"/>
      <c r="N57" s="1"/>
      <c r="O57" s="1"/>
    </row>
    <row r="58" ht="15.75" customHeight="1">
      <c r="A58" s="57"/>
      <c r="B58" s="11" t="s">
        <v>5</v>
      </c>
      <c r="C58" s="88">
        <f t="shared" ref="C58:D58" si="5">SUM(C47*5)</f>
        <v>15</v>
      </c>
      <c r="D58" s="88">
        <f t="shared" si="5"/>
        <v>15</v>
      </c>
      <c r="E58" s="88">
        <f t="shared" ref="E58:F58" si="6">SUM(E47*3)</f>
        <v>18</v>
      </c>
      <c r="F58" s="89">
        <f t="shared" si="6"/>
        <v>15</v>
      </c>
      <c r="G58" s="89">
        <f t="shared" ref="G58:G65" si="9">SUM(G47*1)</f>
        <v>8</v>
      </c>
      <c r="H58" s="89">
        <f t="shared" ref="H58:H65" si="10">SUM(H47*4)</f>
        <v>28</v>
      </c>
      <c r="I58" s="88">
        <f t="shared" ref="I58:I65" si="11">SUM(I47*2)</f>
        <v>16</v>
      </c>
      <c r="J58" s="41">
        <f t="shared" ref="J58:J65" si="12">SUM(C58:I58)</f>
        <v>115</v>
      </c>
      <c r="K58" s="1"/>
      <c r="L58" s="1"/>
      <c r="M58" s="1"/>
      <c r="N58" s="1"/>
      <c r="O58" s="1"/>
    </row>
    <row r="59" ht="15.75" customHeight="1">
      <c r="A59" s="57"/>
      <c r="B59" s="11" t="s">
        <v>4</v>
      </c>
      <c r="C59" s="88">
        <f t="shared" ref="C59:D59" si="7">SUM(C48*5)</f>
        <v>30</v>
      </c>
      <c r="D59" s="88">
        <f t="shared" si="7"/>
        <v>25</v>
      </c>
      <c r="E59" s="88">
        <f t="shared" ref="E59:F59" si="8">SUM(E48*3)</f>
        <v>24</v>
      </c>
      <c r="F59" s="89">
        <f t="shared" si="8"/>
        <v>24</v>
      </c>
      <c r="G59" s="89">
        <f t="shared" si="9"/>
        <v>5</v>
      </c>
      <c r="H59" s="89">
        <f t="shared" si="10"/>
        <v>12</v>
      </c>
      <c r="I59" s="88">
        <f t="shared" si="11"/>
        <v>10</v>
      </c>
      <c r="J59" s="41">
        <f t="shared" si="12"/>
        <v>130</v>
      </c>
      <c r="K59" s="1"/>
      <c r="L59" s="1"/>
      <c r="M59" s="1"/>
      <c r="N59" s="1"/>
      <c r="O59" s="1"/>
    </row>
    <row r="60" ht="15.75" customHeight="1">
      <c r="A60" s="57"/>
      <c r="B60" s="34" t="s">
        <v>198</v>
      </c>
      <c r="C60" s="88">
        <f t="shared" ref="C60:D60" si="13">SUM(C49*5)</f>
        <v>25</v>
      </c>
      <c r="D60" s="88">
        <f t="shared" si="13"/>
        <v>20</v>
      </c>
      <c r="E60" s="88">
        <f t="shared" ref="E60:F60" si="14">SUM(E49*3)</f>
        <v>21</v>
      </c>
      <c r="F60" s="89">
        <f t="shared" si="14"/>
        <v>9</v>
      </c>
      <c r="G60" s="89">
        <f t="shared" si="9"/>
        <v>7</v>
      </c>
      <c r="H60" s="89">
        <f t="shared" si="10"/>
        <v>16</v>
      </c>
      <c r="I60" s="88">
        <f t="shared" si="11"/>
        <v>14</v>
      </c>
      <c r="J60" s="41">
        <f t="shared" si="12"/>
        <v>112</v>
      </c>
      <c r="K60" s="1"/>
      <c r="L60" s="1"/>
      <c r="M60" s="1"/>
      <c r="N60" s="1"/>
      <c r="O60" s="1"/>
    </row>
    <row r="61" ht="15.75" customHeight="1">
      <c r="A61" s="57"/>
      <c r="B61" s="34" t="s">
        <v>199</v>
      </c>
      <c r="C61" s="88">
        <f t="shared" ref="C61:D61" si="15">SUM(C50*5)</f>
        <v>35</v>
      </c>
      <c r="D61" s="88">
        <f t="shared" si="15"/>
        <v>5</v>
      </c>
      <c r="E61" s="88">
        <f t="shared" ref="E61:F61" si="16">SUM(E50*3)</f>
        <v>9</v>
      </c>
      <c r="F61" s="89">
        <f t="shared" si="16"/>
        <v>12</v>
      </c>
      <c r="G61" s="89">
        <f t="shared" si="9"/>
        <v>6</v>
      </c>
      <c r="H61" s="89">
        <f t="shared" si="10"/>
        <v>20</v>
      </c>
      <c r="I61" s="88">
        <f t="shared" si="11"/>
        <v>12</v>
      </c>
      <c r="J61" s="41">
        <f t="shared" si="12"/>
        <v>99</v>
      </c>
      <c r="K61" s="1"/>
      <c r="L61" s="1"/>
      <c r="M61" s="1"/>
      <c r="N61" s="1"/>
      <c r="O61" s="1"/>
    </row>
    <row r="62" ht="15.75" customHeight="1">
      <c r="A62" s="57"/>
      <c r="B62" s="34" t="s">
        <v>200</v>
      </c>
      <c r="C62" s="88">
        <f t="shared" ref="C62:D62" si="17">SUM(C51*5)</f>
        <v>40</v>
      </c>
      <c r="D62" s="88">
        <f t="shared" si="17"/>
        <v>35</v>
      </c>
      <c r="E62" s="88">
        <f t="shared" ref="E62:F62" si="18">SUM(E51*3)</f>
        <v>12</v>
      </c>
      <c r="F62" s="89">
        <f t="shared" si="18"/>
        <v>21</v>
      </c>
      <c r="G62" s="89">
        <f t="shared" si="9"/>
        <v>2</v>
      </c>
      <c r="H62" s="89">
        <f t="shared" si="10"/>
        <v>4</v>
      </c>
      <c r="I62" s="88">
        <f t="shared" si="11"/>
        <v>6</v>
      </c>
      <c r="J62" s="41">
        <f t="shared" si="12"/>
        <v>120</v>
      </c>
      <c r="K62" s="1"/>
      <c r="L62" s="1"/>
      <c r="M62" s="1"/>
      <c r="N62" s="1"/>
      <c r="O62" s="1"/>
    </row>
    <row r="63" ht="15.75" customHeight="1">
      <c r="A63" s="57"/>
      <c r="B63" s="34" t="s">
        <v>201</v>
      </c>
      <c r="C63" s="88">
        <f t="shared" ref="C63:D63" si="19">SUM(C52*5)</f>
        <v>10</v>
      </c>
      <c r="D63" s="88">
        <f t="shared" si="19"/>
        <v>30</v>
      </c>
      <c r="E63" s="88">
        <f t="shared" ref="E63:F63" si="20">SUM(E52*3)</f>
        <v>15</v>
      </c>
      <c r="F63" s="89">
        <f t="shared" si="20"/>
        <v>18</v>
      </c>
      <c r="G63" s="89">
        <f t="shared" si="9"/>
        <v>1</v>
      </c>
      <c r="H63" s="89">
        <f t="shared" si="10"/>
        <v>32</v>
      </c>
      <c r="I63" s="88">
        <f t="shared" si="11"/>
        <v>2</v>
      </c>
      <c r="J63" s="41">
        <f t="shared" si="12"/>
        <v>108</v>
      </c>
      <c r="K63" s="1"/>
      <c r="L63" s="1"/>
      <c r="M63" s="1"/>
      <c r="N63" s="1"/>
      <c r="O63" s="1"/>
    </row>
    <row r="64" ht="15.75" customHeight="1">
      <c r="A64" s="57"/>
      <c r="B64" s="34" t="s">
        <v>202</v>
      </c>
      <c r="C64" s="88">
        <f t="shared" ref="C64:D64" si="21">SUM(C53*5)</f>
        <v>20</v>
      </c>
      <c r="D64" s="88">
        <f t="shared" si="21"/>
        <v>40</v>
      </c>
      <c r="E64" s="88">
        <f t="shared" ref="E64:F64" si="22">SUM(E53*3)</f>
        <v>6</v>
      </c>
      <c r="F64" s="89">
        <f t="shared" si="22"/>
        <v>6</v>
      </c>
      <c r="G64" s="89">
        <f t="shared" si="9"/>
        <v>4</v>
      </c>
      <c r="H64" s="89">
        <f t="shared" si="10"/>
        <v>24</v>
      </c>
      <c r="I64" s="88">
        <f t="shared" si="11"/>
        <v>4</v>
      </c>
      <c r="J64" s="41">
        <f t="shared" si="12"/>
        <v>104</v>
      </c>
      <c r="K64" s="1"/>
      <c r="L64" s="1"/>
      <c r="M64" s="1"/>
      <c r="N64" s="1"/>
      <c r="O64" s="1"/>
    </row>
    <row r="65" ht="15.75" customHeight="1">
      <c r="A65" s="57"/>
      <c r="B65" s="34" t="s">
        <v>203</v>
      </c>
      <c r="C65" s="88">
        <f t="shared" ref="C65:D65" si="23">SUM(C54*5)</f>
        <v>5</v>
      </c>
      <c r="D65" s="88">
        <f t="shared" si="23"/>
        <v>10</v>
      </c>
      <c r="E65" s="88">
        <f t="shared" ref="E65:F65" si="24">SUM(E54*3)</f>
        <v>3</v>
      </c>
      <c r="F65" s="89">
        <f t="shared" si="24"/>
        <v>3</v>
      </c>
      <c r="G65" s="89">
        <f t="shared" si="9"/>
        <v>3</v>
      </c>
      <c r="H65" s="89">
        <f t="shared" si="10"/>
        <v>8</v>
      </c>
      <c r="I65" s="88">
        <f t="shared" si="11"/>
        <v>8</v>
      </c>
      <c r="J65" s="41">
        <f t="shared" si="12"/>
        <v>40</v>
      </c>
      <c r="K65" s="1"/>
      <c r="L65" s="1"/>
      <c r="M65" s="1"/>
      <c r="N65" s="1"/>
      <c r="O65" s="1"/>
    </row>
    <row r="66" ht="15.75" customHeight="1">
      <c r="A66" s="57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57"/>
      <c r="B67" s="6" t="s">
        <v>1</v>
      </c>
      <c r="C67" s="6" t="s">
        <v>63</v>
      </c>
      <c r="D67" s="1"/>
      <c r="E67" s="1"/>
      <c r="F67" s="1"/>
      <c r="G67" s="1"/>
      <c r="H67" s="93"/>
      <c r="I67" s="1"/>
      <c r="J67" s="1"/>
      <c r="K67" s="1"/>
      <c r="L67" s="1"/>
      <c r="M67" s="1"/>
      <c r="N67" s="1"/>
      <c r="O67" s="1"/>
    </row>
    <row r="68" ht="15.75" customHeight="1">
      <c r="A68" s="57"/>
      <c r="B68" s="59" t="s">
        <v>4</v>
      </c>
      <c r="C68" s="60">
        <v>144.0</v>
      </c>
      <c r="D68" s="1"/>
      <c r="E68" s="1"/>
      <c r="F68" s="1"/>
      <c r="G68" s="1"/>
      <c r="H68" s="93"/>
      <c r="I68" s="1"/>
      <c r="J68" s="1"/>
      <c r="K68" s="1"/>
      <c r="L68" s="1"/>
      <c r="M68" s="1"/>
      <c r="N68" s="1"/>
      <c r="O68" s="1"/>
    </row>
    <row r="69" ht="15.75" customHeight="1">
      <c r="A69" s="57"/>
      <c r="B69" s="11" t="s">
        <v>4</v>
      </c>
      <c r="C69" s="94">
        <v>130.0</v>
      </c>
      <c r="D69" s="1"/>
      <c r="E69" s="1"/>
      <c r="F69" s="1"/>
      <c r="G69" s="1"/>
      <c r="H69" s="93"/>
      <c r="I69" s="1"/>
      <c r="J69" s="1"/>
      <c r="K69" s="1"/>
      <c r="L69" s="1"/>
      <c r="M69" s="1"/>
      <c r="N69" s="1"/>
      <c r="O69" s="1"/>
    </row>
    <row r="70" ht="15.75" customHeight="1">
      <c r="A70" s="57"/>
      <c r="B70" s="34" t="s">
        <v>204</v>
      </c>
      <c r="C70" s="94">
        <v>120.0</v>
      </c>
      <c r="D70" s="1"/>
      <c r="E70" s="1"/>
      <c r="F70" s="1"/>
      <c r="G70" s="1"/>
      <c r="H70" s="93"/>
      <c r="I70" s="1"/>
      <c r="J70" s="1"/>
      <c r="K70" s="1"/>
      <c r="L70" s="1"/>
      <c r="M70" s="1"/>
      <c r="N70" s="1"/>
      <c r="O70" s="1"/>
    </row>
    <row r="71" ht="15.75" customHeight="1">
      <c r="A71" s="57"/>
      <c r="B71" s="11" t="s">
        <v>5</v>
      </c>
      <c r="C71" s="94">
        <v>115.0</v>
      </c>
      <c r="D71" s="1"/>
      <c r="E71" s="1"/>
      <c r="F71" s="1"/>
      <c r="G71" s="1"/>
      <c r="H71" s="93"/>
      <c r="I71" s="1"/>
      <c r="J71" s="1"/>
      <c r="K71" s="1"/>
      <c r="L71" s="1"/>
      <c r="M71" s="1"/>
      <c r="N71" s="1"/>
      <c r="O71" s="1"/>
    </row>
    <row r="72" ht="15.75" customHeight="1">
      <c r="A72" s="57"/>
      <c r="B72" s="34" t="s">
        <v>205</v>
      </c>
      <c r="C72" s="94">
        <v>112.0</v>
      </c>
      <c r="D72" s="1"/>
      <c r="E72" s="1"/>
      <c r="F72" s="1"/>
      <c r="G72" s="1"/>
      <c r="H72" s="93"/>
      <c r="I72" s="1"/>
      <c r="J72" s="1"/>
      <c r="K72" s="1"/>
      <c r="L72" s="1"/>
      <c r="M72" s="1"/>
      <c r="N72" s="1"/>
      <c r="O72" s="1"/>
    </row>
    <row r="73" ht="15.75" customHeight="1">
      <c r="A73" s="57"/>
      <c r="B73" s="34" t="s">
        <v>206</v>
      </c>
      <c r="C73" s="94">
        <v>108.0</v>
      </c>
      <c r="D73" s="1"/>
      <c r="E73" s="1"/>
      <c r="F73" s="1"/>
      <c r="G73" s="1"/>
      <c r="H73" s="93"/>
      <c r="I73" s="1"/>
      <c r="J73" s="1"/>
      <c r="K73" s="1"/>
      <c r="L73" s="1"/>
      <c r="M73" s="1"/>
      <c r="N73" s="1"/>
      <c r="O73" s="1"/>
    </row>
    <row r="74" ht="15.75" customHeight="1">
      <c r="A74" s="57"/>
      <c r="B74" s="34" t="s">
        <v>207</v>
      </c>
      <c r="C74" s="94">
        <v>104.0</v>
      </c>
      <c r="D74" s="1"/>
      <c r="E74" s="1"/>
      <c r="F74" s="1"/>
      <c r="G74" s="1"/>
      <c r="H74" s="93"/>
      <c r="I74" s="1"/>
      <c r="J74" s="1"/>
      <c r="K74" s="1"/>
      <c r="L74" s="1"/>
      <c r="M74" s="1"/>
      <c r="N74" s="1"/>
      <c r="O74" s="1"/>
    </row>
    <row r="75" ht="15.75" customHeight="1">
      <c r="A75" s="57"/>
      <c r="B75" s="34" t="s">
        <v>208</v>
      </c>
      <c r="C75" s="94">
        <v>99.0</v>
      </c>
      <c r="D75" s="1"/>
      <c r="E75" s="1"/>
      <c r="F75" s="1"/>
      <c r="G75" s="1"/>
      <c r="H75" s="93"/>
      <c r="I75" s="1"/>
      <c r="J75" s="1"/>
      <c r="K75" s="1"/>
      <c r="L75" s="1"/>
      <c r="M75" s="1"/>
      <c r="N75" s="1"/>
      <c r="O75" s="1"/>
    </row>
    <row r="76" ht="15.75" customHeight="1">
      <c r="A76" s="57"/>
      <c r="B76" s="34" t="s">
        <v>209</v>
      </c>
      <c r="C76" s="94">
        <v>40.0</v>
      </c>
      <c r="D76" s="1"/>
      <c r="E76" s="1"/>
      <c r="F76" s="1"/>
      <c r="G76" s="1"/>
      <c r="H76" s="93"/>
      <c r="I76" s="1"/>
      <c r="J76" s="1"/>
      <c r="K76" s="1"/>
      <c r="L76" s="1"/>
      <c r="M76" s="1"/>
      <c r="N76" s="1"/>
      <c r="O76" s="1"/>
    </row>
    <row r="77" ht="15.75" customHeight="1">
      <c r="A77" s="57"/>
      <c r="B77" s="1"/>
      <c r="C77" s="1"/>
      <c r="D77" s="1"/>
      <c r="E77" s="1"/>
      <c r="F77" s="1"/>
      <c r="G77" s="1"/>
      <c r="H77" s="93"/>
      <c r="I77" s="1"/>
      <c r="J77" s="1"/>
      <c r="K77" s="1"/>
      <c r="L77" s="1"/>
      <c r="M77" s="1"/>
      <c r="N77" s="1"/>
      <c r="O77" s="1"/>
    </row>
    <row r="78" ht="15.75" customHeight="1">
      <c r="A78" s="57"/>
      <c r="B78" s="95" t="s">
        <v>149</v>
      </c>
      <c r="C78" s="65"/>
      <c r="D78" s="65"/>
      <c r="E78" s="65"/>
      <c r="F78" s="65"/>
      <c r="G78" s="65"/>
      <c r="H78" s="65"/>
      <c r="I78" s="51"/>
      <c r="J78" s="1"/>
      <c r="K78" s="1"/>
      <c r="L78" s="1"/>
      <c r="M78" s="1"/>
      <c r="N78" s="1"/>
      <c r="O78" s="1"/>
    </row>
    <row r="79" ht="15.75" customHeight="1">
      <c r="A79" s="57"/>
      <c r="B79" s="96"/>
      <c r="C79" s="6" t="s">
        <v>150</v>
      </c>
      <c r="D79" s="6" t="s">
        <v>151</v>
      </c>
      <c r="E79" s="7" t="s">
        <v>152</v>
      </c>
      <c r="F79" s="97" t="s">
        <v>112</v>
      </c>
      <c r="G79" s="7" t="s">
        <v>153</v>
      </c>
      <c r="H79" s="98" t="s">
        <v>154</v>
      </c>
      <c r="I79" s="6" t="s">
        <v>155</v>
      </c>
      <c r="J79" s="1"/>
      <c r="K79" s="1"/>
      <c r="L79" s="1"/>
      <c r="M79" s="1"/>
      <c r="N79" s="1"/>
      <c r="O79" s="1"/>
    </row>
    <row r="80" ht="15.75" customHeight="1">
      <c r="A80" s="57"/>
      <c r="B80" s="85" t="s">
        <v>43</v>
      </c>
      <c r="C80" s="35">
        <v>3.0</v>
      </c>
      <c r="D80" s="35">
        <v>5.0</v>
      </c>
      <c r="E80" s="35">
        <f t="shared" ref="E80:E85" si="25">C80*D80</f>
        <v>15</v>
      </c>
      <c r="F80" s="94">
        <v>3.0</v>
      </c>
      <c r="G80" s="35">
        <f t="shared" ref="G80:G85" si="26">C80*F80</f>
        <v>9</v>
      </c>
      <c r="H80" s="99">
        <f t="shared" ref="H80:H86" si="27">G80/E80</f>
        <v>0.6</v>
      </c>
      <c r="I80" s="99">
        <f t="shared" ref="I80:I85" si="28">H80*C80</f>
        <v>1.8</v>
      </c>
      <c r="J80" s="1"/>
      <c r="K80" s="1"/>
      <c r="L80" s="1"/>
      <c r="M80" s="1"/>
      <c r="N80" s="1"/>
      <c r="O80" s="1"/>
    </row>
    <row r="81" ht="15.75" customHeight="1">
      <c r="A81" s="57"/>
      <c r="B81" s="85" t="s">
        <v>44</v>
      </c>
      <c r="C81" s="35">
        <v>1.0</v>
      </c>
      <c r="D81" s="35">
        <v>5.0</v>
      </c>
      <c r="E81" s="35">
        <f t="shared" si="25"/>
        <v>5</v>
      </c>
      <c r="F81" s="94">
        <v>5.0</v>
      </c>
      <c r="G81" s="35">
        <f t="shared" si="26"/>
        <v>5</v>
      </c>
      <c r="H81" s="99">
        <f t="shared" si="27"/>
        <v>1</v>
      </c>
      <c r="I81" s="99">
        <f t="shared" si="28"/>
        <v>1</v>
      </c>
      <c r="J81" s="1"/>
      <c r="K81" s="1"/>
      <c r="L81" s="1"/>
      <c r="M81" s="1"/>
      <c r="N81" s="1"/>
      <c r="O81" s="1"/>
    </row>
    <row r="82" ht="15.75" customHeight="1">
      <c r="A82" s="57"/>
      <c r="B82" s="85" t="s">
        <v>45</v>
      </c>
      <c r="C82" s="35">
        <v>4.0</v>
      </c>
      <c r="D82" s="35">
        <v>5.0</v>
      </c>
      <c r="E82" s="35">
        <f t="shared" si="25"/>
        <v>20</v>
      </c>
      <c r="F82" s="94">
        <v>4.0</v>
      </c>
      <c r="G82" s="35">
        <f t="shared" si="26"/>
        <v>16</v>
      </c>
      <c r="H82" s="99">
        <f t="shared" si="27"/>
        <v>0.8</v>
      </c>
      <c r="I82" s="99">
        <f t="shared" si="28"/>
        <v>3.2</v>
      </c>
      <c r="J82" s="1"/>
      <c r="K82" s="1"/>
      <c r="L82" s="1"/>
      <c r="M82" s="1"/>
      <c r="N82" s="1"/>
      <c r="O82" s="1"/>
    </row>
    <row r="83" ht="15.75" customHeight="1">
      <c r="A83" s="57"/>
      <c r="B83" s="85" t="s">
        <v>46</v>
      </c>
      <c r="C83" s="35">
        <v>2.0</v>
      </c>
      <c r="D83" s="35">
        <v>5.0</v>
      </c>
      <c r="E83" s="35">
        <f t="shared" si="25"/>
        <v>10</v>
      </c>
      <c r="F83" s="94">
        <v>5.0</v>
      </c>
      <c r="G83" s="35">
        <f t="shared" si="26"/>
        <v>10</v>
      </c>
      <c r="H83" s="99">
        <f t="shared" si="27"/>
        <v>1</v>
      </c>
      <c r="I83" s="99">
        <f t="shared" si="28"/>
        <v>2</v>
      </c>
      <c r="J83" s="1"/>
      <c r="K83" s="1"/>
      <c r="L83" s="1"/>
      <c r="M83" s="1"/>
      <c r="N83" s="1"/>
      <c r="O83" s="1"/>
    </row>
    <row r="84" ht="15.75" customHeight="1">
      <c r="A84" s="57"/>
      <c r="B84" s="85" t="s">
        <v>156</v>
      </c>
      <c r="C84" s="35">
        <v>5.0</v>
      </c>
      <c r="D84" s="35">
        <v>5.0</v>
      </c>
      <c r="E84" s="35">
        <f t="shared" si="25"/>
        <v>25</v>
      </c>
      <c r="F84" s="94">
        <v>2.0</v>
      </c>
      <c r="G84" s="35">
        <f t="shared" si="26"/>
        <v>10</v>
      </c>
      <c r="H84" s="99">
        <f t="shared" si="27"/>
        <v>0.4</v>
      </c>
      <c r="I84" s="99">
        <f t="shared" si="28"/>
        <v>2</v>
      </c>
      <c r="J84" s="1"/>
      <c r="K84" s="1"/>
      <c r="L84" s="1"/>
      <c r="M84" s="1"/>
      <c r="N84" s="1"/>
      <c r="O84" s="1"/>
    </row>
    <row r="85" ht="15.75" customHeight="1">
      <c r="A85" s="57"/>
      <c r="B85" s="85" t="s">
        <v>42</v>
      </c>
      <c r="C85" s="35">
        <v>3.0</v>
      </c>
      <c r="D85" s="35">
        <v>5.0</v>
      </c>
      <c r="E85" s="35">
        <f t="shared" si="25"/>
        <v>15</v>
      </c>
      <c r="F85" s="94">
        <v>4.0</v>
      </c>
      <c r="G85" s="35">
        <f t="shared" si="26"/>
        <v>12</v>
      </c>
      <c r="H85" s="99">
        <f t="shared" si="27"/>
        <v>0.8</v>
      </c>
      <c r="I85" s="99">
        <f t="shared" si="28"/>
        <v>2.4</v>
      </c>
      <c r="J85" s="1"/>
      <c r="K85" s="1"/>
      <c r="L85" s="1"/>
      <c r="M85" s="1"/>
      <c r="N85" s="1"/>
      <c r="O85" s="1"/>
    </row>
    <row r="86" ht="15.75" customHeight="1">
      <c r="A86" s="57"/>
      <c r="B86" s="15"/>
      <c r="C86" s="37">
        <f t="shared" ref="C86:G86" si="29">SUM(C80:C85)</f>
        <v>18</v>
      </c>
      <c r="D86" s="37">
        <f t="shared" si="29"/>
        <v>30</v>
      </c>
      <c r="E86" s="37">
        <f t="shared" si="29"/>
        <v>90</v>
      </c>
      <c r="F86" s="37">
        <f t="shared" si="29"/>
        <v>23</v>
      </c>
      <c r="G86" s="37">
        <f t="shared" si="29"/>
        <v>62</v>
      </c>
      <c r="H86" s="99">
        <f t="shared" si="27"/>
        <v>0.6888888889</v>
      </c>
      <c r="I86" s="92">
        <f>SUM(I80:I85)</f>
        <v>12.4</v>
      </c>
      <c r="J86" s="1"/>
      <c r="K86" s="1"/>
      <c r="L86" s="1"/>
      <c r="M86" s="1"/>
      <c r="N86" s="1"/>
      <c r="O86" s="1"/>
    </row>
    <row r="87" ht="15.75" customHeight="1">
      <c r="A87" s="57"/>
      <c r="B87" s="15"/>
      <c r="C87" s="15"/>
      <c r="D87" s="15"/>
      <c r="E87" s="15"/>
      <c r="F87" s="15"/>
      <c r="G87" s="15"/>
      <c r="H87" s="100"/>
      <c r="I87" s="92">
        <f>I86/C86</f>
        <v>0.6888888889</v>
      </c>
      <c r="J87" s="1"/>
      <c r="K87" s="1"/>
      <c r="L87" s="1"/>
      <c r="M87" s="1"/>
      <c r="N87" s="1"/>
      <c r="O87" s="1"/>
    </row>
    <row r="88" ht="15.75" customHeight="1">
      <c r="A88" s="57"/>
      <c r="B88" s="1"/>
      <c r="C88" s="1" t="s">
        <v>157</v>
      </c>
      <c r="D88" s="1"/>
      <c r="E88" s="1"/>
      <c r="F88" s="1"/>
      <c r="G88" s="1"/>
      <c r="H88" s="93"/>
      <c r="I88" s="1"/>
      <c r="J88" s="1"/>
      <c r="K88" s="1"/>
      <c r="L88" s="1"/>
      <c r="M88" s="1"/>
      <c r="N88" s="1"/>
      <c r="O88" s="1"/>
    </row>
    <row r="89" ht="15.75" customHeight="1">
      <c r="A89" s="57"/>
      <c r="B89" s="1"/>
      <c r="C89" s="1"/>
      <c r="D89" s="1"/>
      <c r="E89" s="1"/>
      <c r="F89" s="1"/>
      <c r="G89" s="1"/>
      <c r="H89" s="93"/>
      <c r="I89" s="1"/>
      <c r="J89" s="1"/>
      <c r="K89" s="1"/>
      <c r="L89" s="1"/>
      <c r="M89" s="1"/>
      <c r="N89" s="1"/>
      <c r="O89" s="1"/>
    </row>
    <row r="90" ht="15.75" customHeight="1">
      <c r="A90" s="62"/>
      <c r="B90" s="63" t="s">
        <v>83</v>
      </c>
      <c r="C90" s="64">
        <v>45955.0</v>
      </c>
      <c r="D90" s="64">
        <v>45986.0</v>
      </c>
      <c r="E90" s="64">
        <v>46381.0</v>
      </c>
      <c r="F90" s="64">
        <v>46048.0</v>
      </c>
      <c r="G90" s="64"/>
      <c r="H90" s="62"/>
    </row>
    <row r="91" ht="15.75" customHeight="1">
      <c r="A91" s="57"/>
      <c r="B91" s="1"/>
      <c r="C91" s="1">
        <v>70.0</v>
      </c>
      <c r="D91" s="1">
        <v>71.0</v>
      </c>
      <c r="E91" s="1">
        <v>69.0</v>
      </c>
      <c r="F91" s="1">
        <v>69.0</v>
      </c>
      <c r="G91" s="57"/>
      <c r="H91" s="57"/>
    </row>
    <row r="92" ht="15.75" customHeight="1">
      <c r="A92" s="57"/>
      <c r="B92" s="1"/>
      <c r="C92" s="2"/>
      <c r="D92" s="1"/>
      <c r="E92" s="1"/>
      <c r="F92" s="1"/>
      <c r="G92" s="1"/>
      <c r="H92" s="57"/>
      <c r="I92" s="57"/>
    </row>
  </sheetData>
  <mergeCells count="6">
    <mergeCell ref="B2:C2"/>
    <mergeCell ref="B13:E13"/>
    <mergeCell ref="B24:F24"/>
    <mergeCell ref="B45:J45"/>
    <mergeCell ref="B56:J56"/>
    <mergeCell ref="B78:I78"/>
  </mergeCells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3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6"/>
    <hyperlink r:id="rId20" ref="B27"/>
    <hyperlink r:id="rId21" ref="B28"/>
    <hyperlink r:id="rId22" ref="B29"/>
    <hyperlink r:id="rId23" ref="B30"/>
    <hyperlink r:id="rId24" ref="B31"/>
    <hyperlink r:id="rId25" ref="B32"/>
    <hyperlink r:id="rId26" ref="C36"/>
    <hyperlink r:id="rId27" ref="D36"/>
    <hyperlink r:id="rId28" ref="E36"/>
    <hyperlink r:id="rId29" ref="F36"/>
    <hyperlink r:id="rId30" ref="G36"/>
    <hyperlink r:id="rId31" ref="H36"/>
    <hyperlink r:id="rId32" ref="I36"/>
    <hyperlink r:id="rId33" ref="C37"/>
    <hyperlink r:id="rId34" ref="D37"/>
    <hyperlink r:id="rId35" ref="E37"/>
    <hyperlink r:id="rId36" ref="F37"/>
    <hyperlink r:id="rId37" ref="G37"/>
    <hyperlink r:id="rId38" ref="H37"/>
    <hyperlink r:id="rId39" ref="I37"/>
    <hyperlink r:id="rId40" ref="C38"/>
    <hyperlink r:id="rId41" ref="D38"/>
    <hyperlink r:id="rId42" ref="E38"/>
    <hyperlink r:id="rId43" ref="F38"/>
    <hyperlink r:id="rId44" ref="G38"/>
    <hyperlink r:id="rId45" ref="H38"/>
    <hyperlink r:id="rId46" ref="I38"/>
    <hyperlink r:id="rId47" ref="C39"/>
    <hyperlink r:id="rId48" ref="D39"/>
    <hyperlink r:id="rId49" ref="E39"/>
    <hyperlink r:id="rId50" ref="F39"/>
    <hyperlink r:id="rId51" ref="G39"/>
    <hyperlink r:id="rId52" ref="H39"/>
    <hyperlink r:id="rId53" ref="I39"/>
    <hyperlink r:id="rId54" ref="C40"/>
    <hyperlink r:id="rId55" ref="D40"/>
    <hyperlink r:id="rId56" ref="E40"/>
    <hyperlink r:id="rId57" ref="F40"/>
    <hyperlink r:id="rId58" ref="G40"/>
    <hyperlink r:id="rId59" ref="H40"/>
    <hyperlink r:id="rId60" ref="I40"/>
    <hyperlink r:id="rId61" ref="C41"/>
    <hyperlink r:id="rId62" ref="D41"/>
    <hyperlink r:id="rId63" ref="E41"/>
    <hyperlink r:id="rId64" ref="F41"/>
    <hyperlink r:id="rId65" ref="G41"/>
    <hyperlink r:id="rId66" ref="H41"/>
    <hyperlink r:id="rId67" ref="I41"/>
    <hyperlink r:id="rId68" ref="C42"/>
    <hyperlink r:id="rId69" ref="D42"/>
    <hyperlink r:id="rId70" ref="E42"/>
    <hyperlink r:id="rId71" ref="F42"/>
    <hyperlink r:id="rId72" ref="G42"/>
    <hyperlink r:id="rId73" ref="H42"/>
    <hyperlink r:id="rId74" ref="C43"/>
    <hyperlink r:id="rId75" ref="D43"/>
    <hyperlink r:id="rId76" ref="F43"/>
    <hyperlink r:id="rId77" ref="H43"/>
    <hyperlink r:id="rId78" ref="B47"/>
    <hyperlink r:id="rId79" ref="B48"/>
    <hyperlink r:id="rId80" ref="B49"/>
    <hyperlink r:id="rId81" ref="B50"/>
    <hyperlink r:id="rId82" ref="B51"/>
    <hyperlink r:id="rId83" ref="B52"/>
    <hyperlink r:id="rId84" ref="B53"/>
    <hyperlink r:id="rId85" ref="B54"/>
    <hyperlink r:id="rId86" ref="B58"/>
    <hyperlink r:id="rId87" ref="B59"/>
    <hyperlink r:id="rId88" ref="B60"/>
    <hyperlink r:id="rId89" ref="B61"/>
    <hyperlink r:id="rId90" ref="B62"/>
    <hyperlink r:id="rId91" ref="B63"/>
    <hyperlink r:id="rId92" ref="B64"/>
    <hyperlink r:id="rId93" ref="B65"/>
    <hyperlink r:id="rId94" ref="B68"/>
    <hyperlink r:id="rId95" ref="B69"/>
    <hyperlink r:id="rId96" ref="B70"/>
    <hyperlink r:id="rId97" ref="B71"/>
    <hyperlink r:id="rId98" ref="B72"/>
    <hyperlink r:id="rId99" ref="B73"/>
    <hyperlink r:id="rId100" ref="B74"/>
    <hyperlink r:id="rId101" ref="B75"/>
    <hyperlink r:id="rId102" ref="B76"/>
  </hyperlinks>
  <printOptions/>
  <pageMargins bottom="0.787401575" footer="0.0" header="0.0" left="0.511811024" right="0.511811024" top="0.787401575"/>
  <pageSetup orientation="landscape"/>
  <drawing r:id="rId10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2023-03-02T01:23:49Z</dcterms:created>
  <dc:creator>Leonardo Oda</dc:creator>
</cp:coreProperties>
</file>